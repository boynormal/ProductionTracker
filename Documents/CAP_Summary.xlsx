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ductReport\production-tracker\Documents\"/>
    </mc:Choice>
  </mc:AlternateContent>
  <xr:revisionPtr revIDLastSave="0" documentId="13_ncr:1_{616E4F94-208A-4B39-9D07-2B5B81646460}" xr6:coauthVersionLast="47" xr6:coauthVersionMax="47" xr10:uidLastSave="{00000000-0000-0000-0000-000000000000}"/>
  <bookViews>
    <workbookView xWindow="-120" yWindow="-120" windowWidth="29040" windowHeight="15840" tabRatio="927" activeTab="2" xr2:uid="{00000000-000D-0000-FFFF-FFFF00000000}"/>
  </bookViews>
  <sheets>
    <sheet name="พนักงาน" sheetId="29" r:id="rId1"/>
    <sheet name="CAP_Summary" sheetId="1" r:id="rId2"/>
    <sheet name="Y25-Forecast (pcs.)" sheetId="2" r:id="rId3"/>
  </sheets>
  <externalReferences>
    <externalReference r:id="rId4"/>
    <externalReference r:id="rId5"/>
    <externalReference r:id="rId6"/>
  </externalReferences>
  <definedNames>
    <definedName name="_xlnm._FilterDatabase" localSheetId="1" hidden="1">CAP_Summary!$A$2:$M$313</definedName>
    <definedName name="_xlnm._FilterDatabase" localSheetId="2" hidden="1">'Y25-Forecast (pcs.)'!$B$2:$T$312</definedName>
    <definedName name="_xlnm._FilterDatabase" localSheetId="0" hidden="1">พนักงาน!$A$3:$N$3</definedName>
    <definedName name="_ST2">#REF!</definedName>
    <definedName name="A">#REF!</definedName>
    <definedName name="DATA">#REF!</definedName>
    <definedName name="DRWISS">[1]NEW003!$I$1:$I$65536</definedName>
    <definedName name="DRWRCV">[1]NEW003!$J$1:$J$65536</definedName>
    <definedName name="DWGRCV">#REF!</definedName>
    <definedName name="g">#REF!</definedName>
    <definedName name="H">#REF!</definedName>
    <definedName name="INS">#REF!</definedName>
    <definedName name="INS_IE">#REF!</definedName>
    <definedName name="J">#REF!</definedName>
    <definedName name="l">#REF!</definedName>
    <definedName name="MCDRWISS">'[2]MC3(main)'!$I$1:$I$65536</definedName>
    <definedName name="MCDRWRCV">'[2]MC3(main)'!$J$1:$J$65536</definedName>
    <definedName name="MCISIR">'[2]MC3(main)'!$R$1:$R$65536</definedName>
    <definedName name="MCITEM">[2]MC1!$A$1:$A$65536</definedName>
    <definedName name="MCMPLAN">'[2]MC3(main)'!$N$1:$N$65536</definedName>
    <definedName name="MCSAMPLAN">'[2]MC3(main)'!$P$1:$P$65536</definedName>
    <definedName name="MCSAMRCVD">'[2]MC3(main)'!$Q$1:$Q$65536</definedName>
    <definedName name="MPLAN">[1]NEW003!$N$1:$N$65536</definedName>
    <definedName name="O">#REF!</definedName>
    <definedName name="OK">#REF!</definedName>
    <definedName name="P">#REF!</definedName>
    <definedName name="PACK">#REF!</definedName>
    <definedName name="PJC">#REF!</definedName>
    <definedName name="PLANRCV">#REF!</definedName>
    <definedName name="POL">#REF!</definedName>
    <definedName name="PPD">#REF!</definedName>
    <definedName name="QC">#REF!</definedName>
    <definedName name="RR">#REF!</definedName>
    <definedName name="RRR">#REF!</definedName>
    <definedName name="S">#REF!</definedName>
    <definedName name="SAMACT">#REF!</definedName>
    <definedName name="SAMPLAN">[1]NEW003!$P$1:$P$65536</definedName>
    <definedName name="SCHD">#REF!</definedName>
    <definedName name="SRC">#REF!</definedName>
    <definedName name="SRCV">#REF!</definedName>
    <definedName name="ST">#REF!</definedName>
    <definedName name="TOOL">#REF!</definedName>
    <definedName name="WORK">#REF!</definedName>
    <definedName name="Z">#REF!</definedName>
  </definedNames>
  <calcPr calcId="191029"/>
</workbook>
</file>

<file path=xl/calcChain.xml><?xml version="1.0" encoding="utf-8"?>
<calcChain xmlns="http://schemas.openxmlformats.org/spreadsheetml/2006/main">
  <c r="AB324" i="2" l="1"/>
  <c r="AA324" i="2"/>
  <c r="Z324" i="2"/>
  <c r="Y324" i="2"/>
  <c r="X324" i="2"/>
  <c r="W324" i="2"/>
  <c r="V324" i="2"/>
  <c r="U324" i="2"/>
  <c r="T324" i="2"/>
  <c r="S324" i="2"/>
  <c r="R324" i="2"/>
  <c r="Q324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AB307" i="2"/>
  <c r="AA307" i="2"/>
  <c r="Z307" i="2"/>
  <c r="Y307" i="2"/>
  <c r="X307" i="2"/>
  <c r="W307" i="2"/>
  <c r="V307" i="2"/>
  <c r="U307" i="2"/>
  <c r="T307" i="2"/>
  <c r="S307" i="2"/>
  <c r="R307" i="2"/>
  <c r="Q307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AB302" i="2"/>
  <c r="AA302" i="2"/>
  <c r="Z302" i="2"/>
  <c r="Y302" i="2"/>
  <c r="X302" i="2"/>
  <c r="W302" i="2"/>
  <c r="V302" i="2"/>
  <c r="U302" i="2"/>
  <c r="T302" i="2"/>
  <c r="S302" i="2"/>
  <c r="R302" i="2"/>
  <c r="Q302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AD219" i="2" s="1"/>
  <c r="AB218" i="2"/>
  <c r="AA218" i="2"/>
  <c r="Z218" i="2"/>
  <c r="Y218" i="2"/>
  <c r="X218" i="2"/>
  <c r="W218" i="2"/>
  <c r="V218" i="2"/>
  <c r="U218" i="2"/>
  <c r="T218" i="2"/>
  <c r="S218" i="2"/>
  <c r="R218" i="2"/>
  <c r="Q218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AD215" i="2" s="1"/>
  <c r="AB214" i="2"/>
  <c r="AA214" i="2"/>
  <c r="Z214" i="2"/>
  <c r="Y214" i="2"/>
  <c r="X214" i="2"/>
  <c r="W214" i="2"/>
  <c r="V214" i="2"/>
  <c r="U214" i="2"/>
  <c r="T214" i="2"/>
  <c r="S214" i="2"/>
  <c r="R214" i="2"/>
  <c r="Q214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AD202" i="2" s="1"/>
  <c r="AB201" i="2"/>
  <c r="AA201" i="2"/>
  <c r="Z201" i="2"/>
  <c r="Y201" i="2"/>
  <c r="X201" i="2"/>
  <c r="W201" i="2"/>
  <c r="V201" i="2"/>
  <c r="U201" i="2"/>
  <c r="T201" i="2"/>
  <c r="S201" i="2"/>
  <c r="R201" i="2"/>
  <c r="Q201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AD200" i="2" s="1"/>
  <c r="AB199" i="2"/>
  <c r="AA199" i="2"/>
  <c r="Z199" i="2"/>
  <c r="Y199" i="2"/>
  <c r="X199" i="2"/>
  <c r="W199" i="2"/>
  <c r="V199" i="2"/>
  <c r="U199" i="2"/>
  <c r="T199" i="2"/>
  <c r="S199" i="2"/>
  <c r="R199" i="2"/>
  <c r="Q199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AD198" i="2" s="1"/>
  <c r="AB197" i="2"/>
  <c r="AA197" i="2"/>
  <c r="Z197" i="2"/>
  <c r="Y197" i="2"/>
  <c r="X197" i="2"/>
  <c r="W197" i="2"/>
  <c r="V197" i="2"/>
  <c r="U197" i="2"/>
  <c r="T197" i="2"/>
  <c r="S197" i="2"/>
  <c r="R197" i="2"/>
  <c r="Q197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AD196" i="2" s="1"/>
  <c r="AB195" i="2"/>
  <c r="AA195" i="2"/>
  <c r="Z195" i="2"/>
  <c r="Y195" i="2"/>
  <c r="X195" i="2"/>
  <c r="W195" i="2"/>
  <c r="V195" i="2"/>
  <c r="U195" i="2"/>
  <c r="T195" i="2"/>
  <c r="S195" i="2"/>
  <c r="R195" i="2"/>
  <c r="Q195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AD193" i="2" s="1"/>
  <c r="AB192" i="2"/>
  <c r="AA192" i="2"/>
  <c r="Z192" i="2"/>
  <c r="Y192" i="2"/>
  <c r="X192" i="2"/>
  <c r="W192" i="2"/>
  <c r="V192" i="2"/>
  <c r="U192" i="2"/>
  <c r="T192" i="2"/>
  <c r="S192" i="2"/>
  <c r="R192" i="2"/>
  <c r="Q192" i="2"/>
  <c r="AD192" i="2" s="1"/>
  <c r="AB191" i="2"/>
  <c r="AA191" i="2"/>
  <c r="Z191" i="2"/>
  <c r="Y191" i="2"/>
  <c r="X191" i="2"/>
  <c r="W191" i="2"/>
  <c r="V191" i="2"/>
  <c r="U191" i="2"/>
  <c r="T191" i="2"/>
  <c r="S191" i="2"/>
  <c r="R191" i="2"/>
  <c r="Q191" i="2"/>
  <c r="AD191" i="2" s="1"/>
  <c r="AB190" i="2"/>
  <c r="AA190" i="2"/>
  <c r="Z190" i="2"/>
  <c r="Y190" i="2"/>
  <c r="X190" i="2"/>
  <c r="W190" i="2"/>
  <c r="V190" i="2"/>
  <c r="U190" i="2"/>
  <c r="T190" i="2"/>
  <c r="S190" i="2"/>
  <c r="R190" i="2"/>
  <c r="Q190" i="2"/>
  <c r="AD190" i="2" s="1"/>
  <c r="AB189" i="2"/>
  <c r="AA189" i="2"/>
  <c r="Z189" i="2"/>
  <c r="Y189" i="2"/>
  <c r="X189" i="2"/>
  <c r="W189" i="2"/>
  <c r="V189" i="2"/>
  <c r="U189" i="2"/>
  <c r="T189" i="2"/>
  <c r="S189" i="2"/>
  <c r="R189" i="2"/>
  <c r="Q189" i="2"/>
  <c r="AD189" i="2" s="1"/>
  <c r="AB188" i="2"/>
  <c r="AA188" i="2"/>
  <c r="Z188" i="2"/>
  <c r="Y188" i="2"/>
  <c r="X188" i="2"/>
  <c r="W188" i="2"/>
  <c r="V188" i="2"/>
  <c r="U188" i="2"/>
  <c r="T188" i="2"/>
  <c r="S188" i="2"/>
  <c r="R188" i="2"/>
  <c r="Q188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AD187" i="2" s="1"/>
  <c r="AB186" i="2"/>
  <c r="AA186" i="2"/>
  <c r="Z186" i="2"/>
  <c r="Y186" i="2"/>
  <c r="X186" i="2"/>
  <c r="W186" i="2"/>
  <c r="V186" i="2"/>
  <c r="U186" i="2"/>
  <c r="T186" i="2"/>
  <c r="S186" i="2"/>
  <c r="R186" i="2"/>
  <c r="Q186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AD185" i="2" s="1"/>
  <c r="AB184" i="2"/>
  <c r="AA184" i="2"/>
  <c r="Z184" i="2"/>
  <c r="Y184" i="2"/>
  <c r="X184" i="2"/>
  <c r="W184" i="2"/>
  <c r="V184" i="2"/>
  <c r="U184" i="2"/>
  <c r="T184" i="2"/>
  <c r="S184" i="2"/>
  <c r="R184" i="2"/>
  <c r="Q184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AD183" i="2" s="1"/>
  <c r="AB182" i="2"/>
  <c r="AA182" i="2"/>
  <c r="Z182" i="2"/>
  <c r="Y182" i="2"/>
  <c r="X182" i="2"/>
  <c r="W182" i="2"/>
  <c r="V182" i="2"/>
  <c r="U182" i="2"/>
  <c r="T182" i="2"/>
  <c r="S182" i="2"/>
  <c r="R182" i="2"/>
  <c r="Q182" i="2"/>
  <c r="AD182" i="2" s="1"/>
  <c r="AB181" i="2"/>
  <c r="AA181" i="2"/>
  <c r="Z181" i="2"/>
  <c r="Y181" i="2"/>
  <c r="X181" i="2"/>
  <c r="W181" i="2"/>
  <c r="V181" i="2"/>
  <c r="U181" i="2"/>
  <c r="T181" i="2"/>
  <c r="S181" i="2"/>
  <c r="R181" i="2"/>
  <c r="Q181" i="2"/>
  <c r="AD181" i="2" s="1"/>
  <c r="AB180" i="2"/>
  <c r="AA180" i="2"/>
  <c r="Z180" i="2"/>
  <c r="Y180" i="2"/>
  <c r="X180" i="2"/>
  <c r="W180" i="2"/>
  <c r="V180" i="2"/>
  <c r="U180" i="2"/>
  <c r="T180" i="2"/>
  <c r="S180" i="2"/>
  <c r="R180" i="2"/>
  <c r="Q180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AD179" i="2" s="1"/>
  <c r="AB178" i="2"/>
  <c r="AA178" i="2"/>
  <c r="Z178" i="2"/>
  <c r="Y178" i="2"/>
  <c r="X178" i="2"/>
  <c r="W178" i="2"/>
  <c r="V178" i="2"/>
  <c r="U178" i="2"/>
  <c r="T178" i="2"/>
  <c r="S178" i="2"/>
  <c r="R178" i="2"/>
  <c r="Q178" i="2"/>
  <c r="AD178" i="2" s="1"/>
  <c r="AB177" i="2"/>
  <c r="AA177" i="2"/>
  <c r="Z177" i="2"/>
  <c r="Y177" i="2"/>
  <c r="X177" i="2"/>
  <c r="W177" i="2"/>
  <c r="V177" i="2"/>
  <c r="U177" i="2"/>
  <c r="T177" i="2"/>
  <c r="S177" i="2"/>
  <c r="R177" i="2"/>
  <c r="Q177" i="2"/>
  <c r="AD177" i="2" s="1"/>
  <c r="AB176" i="2"/>
  <c r="AA176" i="2"/>
  <c r="Z176" i="2"/>
  <c r="Y176" i="2"/>
  <c r="X176" i="2"/>
  <c r="W176" i="2"/>
  <c r="V176" i="2"/>
  <c r="U176" i="2"/>
  <c r="T176" i="2"/>
  <c r="S176" i="2"/>
  <c r="R176" i="2"/>
  <c r="Q176" i="2"/>
  <c r="AD176" i="2" s="1"/>
  <c r="AB175" i="2"/>
  <c r="AA175" i="2"/>
  <c r="Z175" i="2"/>
  <c r="Y175" i="2"/>
  <c r="X175" i="2"/>
  <c r="W175" i="2"/>
  <c r="V175" i="2"/>
  <c r="U175" i="2"/>
  <c r="T175" i="2"/>
  <c r="S175" i="2"/>
  <c r="R175" i="2"/>
  <c r="Q175" i="2"/>
  <c r="AD175" i="2" s="1"/>
  <c r="AB174" i="2"/>
  <c r="AA174" i="2"/>
  <c r="Z174" i="2"/>
  <c r="Y174" i="2"/>
  <c r="X174" i="2"/>
  <c r="W174" i="2"/>
  <c r="V174" i="2"/>
  <c r="U174" i="2"/>
  <c r="T174" i="2"/>
  <c r="S174" i="2"/>
  <c r="R174" i="2"/>
  <c r="Q174" i="2"/>
  <c r="AD174" i="2" s="1"/>
  <c r="AB173" i="2"/>
  <c r="AA173" i="2"/>
  <c r="Z173" i="2"/>
  <c r="Y173" i="2"/>
  <c r="X173" i="2"/>
  <c r="W173" i="2"/>
  <c r="V173" i="2"/>
  <c r="U173" i="2"/>
  <c r="T173" i="2"/>
  <c r="S173" i="2"/>
  <c r="R173" i="2"/>
  <c r="Q173" i="2"/>
  <c r="AD173" i="2" s="1"/>
  <c r="AB172" i="2"/>
  <c r="AA172" i="2"/>
  <c r="Z172" i="2"/>
  <c r="Y172" i="2"/>
  <c r="X172" i="2"/>
  <c r="W172" i="2"/>
  <c r="V172" i="2"/>
  <c r="U172" i="2"/>
  <c r="T172" i="2"/>
  <c r="S172" i="2"/>
  <c r="R172" i="2"/>
  <c r="Q172" i="2"/>
  <c r="AD172" i="2" s="1"/>
  <c r="AB171" i="2"/>
  <c r="AA171" i="2"/>
  <c r="Z171" i="2"/>
  <c r="Y171" i="2"/>
  <c r="X171" i="2"/>
  <c r="W171" i="2"/>
  <c r="V171" i="2"/>
  <c r="U171" i="2"/>
  <c r="T171" i="2"/>
  <c r="S171" i="2"/>
  <c r="R171" i="2"/>
  <c r="Q171" i="2"/>
  <c r="AD171" i="2" s="1"/>
  <c r="AB170" i="2"/>
  <c r="AA170" i="2"/>
  <c r="Z170" i="2"/>
  <c r="Y170" i="2"/>
  <c r="X170" i="2"/>
  <c r="W170" i="2"/>
  <c r="V170" i="2"/>
  <c r="U170" i="2"/>
  <c r="T170" i="2"/>
  <c r="S170" i="2"/>
  <c r="R170" i="2"/>
  <c r="Q170" i="2"/>
  <c r="AD170" i="2" s="1"/>
  <c r="AB169" i="2"/>
  <c r="AA169" i="2"/>
  <c r="Z169" i="2"/>
  <c r="Y169" i="2"/>
  <c r="X169" i="2"/>
  <c r="W169" i="2"/>
  <c r="V169" i="2"/>
  <c r="U169" i="2"/>
  <c r="T169" i="2"/>
  <c r="S169" i="2"/>
  <c r="R169" i="2"/>
  <c r="Q169" i="2"/>
  <c r="AD169" i="2" s="1"/>
  <c r="AB168" i="2"/>
  <c r="AA168" i="2"/>
  <c r="Z168" i="2"/>
  <c r="Y168" i="2"/>
  <c r="X168" i="2"/>
  <c r="W168" i="2"/>
  <c r="V168" i="2"/>
  <c r="U168" i="2"/>
  <c r="T168" i="2"/>
  <c r="S168" i="2"/>
  <c r="R168" i="2"/>
  <c r="Q168" i="2"/>
  <c r="AD168" i="2" s="1"/>
  <c r="AB167" i="2"/>
  <c r="AA167" i="2"/>
  <c r="Z167" i="2"/>
  <c r="Y167" i="2"/>
  <c r="X167" i="2"/>
  <c r="W167" i="2"/>
  <c r="V167" i="2"/>
  <c r="U167" i="2"/>
  <c r="T167" i="2"/>
  <c r="S167" i="2"/>
  <c r="R167" i="2"/>
  <c r="Q167" i="2"/>
  <c r="AD167" i="2" s="1"/>
  <c r="AB166" i="2"/>
  <c r="AA166" i="2"/>
  <c r="Z166" i="2"/>
  <c r="Y166" i="2"/>
  <c r="X166" i="2"/>
  <c r="W166" i="2"/>
  <c r="V166" i="2"/>
  <c r="U166" i="2"/>
  <c r="T166" i="2"/>
  <c r="S166" i="2"/>
  <c r="R166" i="2"/>
  <c r="Q166" i="2"/>
  <c r="AD166" i="2" s="1"/>
  <c r="AB165" i="2"/>
  <c r="AA165" i="2"/>
  <c r="Z165" i="2"/>
  <c r="Y165" i="2"/>
  <c r="X165" i="2"/>
  <c r="W165" i="2"/>
  <c r="V165" i="2"/>
  <c r="U165" i="2"/>
  <c r="T165" i="2"/>
  <c r="S165" i="2"/>
  <c r="R165" i="2"/>
  <c r="Q165" i="2"/>
  <c r="AD165" i="2" s="1"/>
  <c r="AB164" i="2"/>
  <c r="AA164" i="2"/>
  <c r="Z164" i="2"/>
  <c r="Y164" i="2"/>
  <c r="X164" i="2"/>
  <c r="W164" i="2"/>
  <c r="V164" i="2"/>
  <c r="U164" i="2"/>
  <c r="T164" i="2"/>
  <c r="S164" i="2"/>
  <c r="R164" i="2"/>
  <c r="Q164" i="2"/>
  <c r="AD164" i="2" s="1"/>
  <c r="AB163" i="2"/>
  <c r="AA163" i="2"/>
  <c r="Z163" i="2"/>
  <c r="Y163" i="2"/>
  <c r="X163" i="2"/>
  <c r="W163" i="2"/>
  <c r="V163" i="2"/>
  <c r="U163" i="2"/>
  <c r="T163" i="2"/>
  <c r="S163" i="2"/>
  <c r="R163" i="2"/>
  <c r="Q163" i="2"/>
  <c r="AD163" i="2" s="1"/>
  <c r="AB162" i="2"/>
  <c r="AA162" i="2"/>
  <c r="Z162" i="2"/>
  <c r="Y162" i="2"/>
  <c r="X162" i="2"/>
  <c r="W162" i="2"/>
  <c r="V162" i="2"/>
  <c r="U162" i="2"/>
  <c r="T162" i="2"/>
  <c r="S162" i="2"/>
  <c r="R162" i="2"/>
  <c r="Q162" i="2"/>
  <c r="AD162" i="2" s="1"/>
  <c r="AB161" i="2"/>
  <c r="AA161" i="2"/>
  <c r="Z161" i="2"/>
  <c r="Y161" i="2"/>
  <c r="X161" i="2"/>
  <c r="W161" i="2"/>
  <c r="V161" i="2"/>
  <c r="U161" i="2"/>
  <c r="T161" i="2"/>
  <c r="S161" i="2"/>
  <c r="R161" i="2"/>
  <c r="Q161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AD160" i="2" s="1"/>
  <c r="AB159" i="2"/>
  <c r="AA159" i="2"/>
  <c r="Z159" i="2"/>
  <c r="Y159" i="2"/>
  <c r="X159" i="2"/>
  <c r="W159" i="2"/>
  <c r="V159" i="2"/>
  <c r="U159" i="2"/>
  <c r="T159" i="2"/>
  <c r="S159" i="2"/>
  <c r="R159" i="2"/>
  <c r="Q159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AD158" i="2" s="1"/>
  <c r="AB157" i="2"/>
  <c r="AA157" i="2"/>
  <c r="Z157" i="2"/>
  <c r="Y157" i="2"/>
  <c r="X157" i="2"/>
  <c r="W157" i="2"/>
  <c r="V157" i="2"/>
  <c r="U157" i="2"/>
  <c r="T157" i="2"/>
  <c r="S157" i="2"/>
  <c r="R157" i="2"/>
  <c r="Q157" i="2"/>
  <c r="AD157" i="2" s="1"/>
  <c r="AB156" i="2"/>
  <c r="AA156" i="2"/>
  <c r="Z156" i="2"/>
  <c r="Y156" i="2"/>
  <c r="X156" i="2"/>
  <c r="W156" i="2"/>
  <c r="V156" i="2"/>
  <c r="U156" i="2"/>
  <c r="T156" i="2"/>
  <c r="S156" i="2"/>
  <c r="R156" i="2"/>
  <c r="Q156" i="2"/>
  <c r="AD156" i="2" s="1"/>
  <c r="AB155" i="2"/>
  <c r="AA155" i="2"/>
  <c r="Z155" i="2"/>
  <c r="Y155" i="2"/>
  <c r="X155" i="2"/>
  <c r="W155" i="2"/>
  <c r="V155" i="2"/>
  <c r="U155" i="2"/>
  <c r="T155" i="2"/>
  <c r="S155" i="2"/>
  <c r="R155" i="2"/>
  <c r="Q155" i="2"/>
  <c r="AD155" i="2" s="1"/>
  <c r="AB154" i="2"/>
  <c r="AA154" i="2"/>
  <c r="Z154" i="2"/>
  <c r="Y154" i="2"/>
  <c r="X154" i="2"/>
  <c r="W154" i="2"/>
  <c r="V154" i="2"/>
  <c r="U154" i="2"/>
  <c r="T154" i="2"/>
  <c r="S154" i="2"/>
  <c r="R154" i="2"/>
  <c r="Q154" i="2"/>
  <c r="AD154" i="2" s="1"/>
  <c r="AB153" i="2"/>
  <c r="AA153" i="2"/>
  <c r="Z153" i="2"/>
  <c r="Y153" i="2"/>
  <c r="X153" i="2"/>
  <c r="W153" i="2"/>
  <c r="V153" i="2"/>
  <c r="U153" i="2"/>
  <c r="T153" i="2"/>
  <c r="S153" i="2"/>
  <c r="R153" i="2"/>
  <c r="Q153" i="2"/>
  <c r="AD153" i="2" s="1"/>
  <c r="AB152" i="2"/>
  <c r="AA152" i="2"/>
  <c r="Z152" i="2"/>
  <c r="Y152" i="2"/>
  <c r="X152" i="2"/>
  <c r="W152" i="2"/>
  <c r="V152" i="2"/>
  <c r="U152" i="2"/>
  <c r="T152" i="2"/>
  <c r="S152" i="2"/>
  <c r="R152" i="2"/>
  <c r="Q152" i="2"/>
  <c r="AD152" i="2" s="1"/>
  <c r="AB151" i="2"/>
  <c r="AA151" i="2"/>
  <c r="Z151" i="2"/>
  <c r="Y151" i="2"/>
  <c r="X151" i="2"/>
  <c r="W151" i="2"/>
  <c r="V151" i="2"/>
  <c r="U151" i="2"/>
  <c r="T151" i="2"/>
  <c r="S151" i="2"/>
  <c r="R151" i="2"/>
  <c r="Q151" i="2"/>
  <c r="AD151" i="2" s="1"/>
  <c r="AB150" i="2"/>
  <c r="AA150" i="2"/>
  <c r="Z150" i="2"/>
  <c r="Y150" i="2"/>
  <c r="X150" i="2"/>
  <c r="W150" i="2"/>
  <c r="V150" i="2"/>
  <c r="U150" i="2"/>
  <c r="T150" i="2"/>
  <c r="S150" i="2"/>
  <c r="R150" i="2"/>
  <c r="Q150" i="2"/>
  <c r="AD150" i="2" s="1"/>
  <c r="AB149" i="2"/>
  <c r="AA149" i="2"/>
  <c r="Z149" i="2"/>
  <c r="Y149" i="2"/>
  <c r="X149" i="2"/>
  <c r="W149" i="2"/>
  <c r="V149" i="2"/>
  <c r="U149" i="2"/>
  <c r="T149" i="2"/>
  <c r="S149" i="2"/>
  <c r="R149" i="2"/>
  <c r="Q149" i="2"/>
  <c r="AD149" i="2" s="1"/>
  <c r="AB148" i="2"/>
  <c r="AA148" i="2"/>
  <c r="Z148" i="2"/>
  <c r="Y148" i="2"/>
  <c r="X148" i="2"/>
  <c r="W148" i="2"/>
  <c r="V148" i="2"/>
  <c r="U148" i="2"/>
  <c r="T148" i="2"/>
  <c r="S148" i="2"/>
  <c r="R148" i="2"/>
  <c r="Q148" i="2"/>
  <c r="AD148" i="2" s="1"/>
  <c r="AB147" i="2"/>
  <c r="AA147" i="2"/>
  <c r="Z147" i="2"/>
  <c r="Y147" i="2"/>
  <c r="X147" i="2"/>
  <c r="W147" i="2"/>
  <c r="V147" i="2"/>
  <c r="U147" i="2"/>
  <c r="T147" i="2"/>
  <c r="S147" i="2"/>
  <c r="R147" i="2"/>
  <c r="Q147" i="2"/>
  <c r="AD147" i="2" s="1"/>
  <c r="AB146" i="2"/>
  <c r="AA146" i="2"/>
  <c r="Z146" i="2"/>
  <c r="Y146" i="2"/>
  <c r="X146" i="2"/>
  <c r="W146" i="2"/>
  <c r="V146" i="2"/>
  <c r="U146" i="2"/>
  <c r="T146" i="2"/>
  <c r="S146" i="2"/>
  <c r="R146" i="2"/>
  <c r="Q146" i="2"/>
  <c r="AD146" i="2" s="1"/>
  <c r="AB145" i="2"/>
  <c r="AA145" i="2"/>
  <c r="Z145" i="2"/>
  <c r="Y145" i="2"/>
  <c r="X145" i="2"/>
  <c r="W145" i="2"/>
  <c r="V145" i="2"/>
  <c r="U145" i="2"/>
  <c r="T145" i="2"/>
  <c r="S145" i="2"/>
  <c r="R145" i="2"/>
  <c r="Q145" i="2"/>
  <c r="AD145" i="2" s="1"/>
  <c r="AB144" i="2"/>
  <c r="AA144" i="2"/>
  <c r="Z144" i="2"/>
  <c r="Y144" i="2"/>
  <c r="X144" i="2"/>
  <c r="W144" i="2"/>
  <c r="V144" i="2"/>
  <c r="U144" i="2"/>
  <c r="T144" i="2"/>
  <c r="S144" i="2"/>
  <c r="R144" i="2"/>
  <c r="Q144" i="2"/>
  <c r="AD144" i="2" s="1"/>
  <c r="AB143" i="2"/>
  <c r="AA143" i="2"/>
  <c r="Z143" i="2"/>
  <c r="Y143" i="2"/>
  <c r="X143" i="2"/>
  <c r="W143" i="2"/>
  <c r="V143" i="2"/>
  <c r="U143" i="2"/>
  <c r="T143" i="2"/>
  <c r="S143" i="2"/>
  <c r="R143" i="2"/>
  <c r="Q143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AD142" i="2" s="1"/>
  <c r="AB141" i="2"/>
  <c r="AA141" i="2"/>
  <c r="Z141" i="2"/>
  <c r="Y141" i="2"/>
  <c r="X141" i="2"/>
  <c r="W141" i="2"/>
  <c r="V141" i="2"/>
  <c r="U141" i="2"/>
  <c r="T141" i="2"/>
  <c r="S141" i="2"/>
  <c r="R141" i="2"/>
  <c r="Q141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AD140" i="2" s="1"/>
  <c r="AB139" i="2"/>
  <c r="AA139" i="2"/>
  <c r="Z139" i="2"/>
  <c r="Y139" i="2"/>
  <c r="X139" i="2"/>
  <c r="W139" i="2"/>
  <c r="V139" i="2"/>
  <c r="U139" i="2"/>
  <c r="T139" i="2"/>
  <c r="S139" i="2"/>
  <c r="R139" i="2"/>
  <c r="Q139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AD138" i="2" s="1"/>
  <c r="AB137" i="2"/>
  <c r="AA137" i="2"/>
  <c r="Z137" i="2"/>
  <c r="Y137" i="2"/>
  <c r="X137" i="2"/>
  <c r="W137" i="2"/>
  <c r="V137" i="2"/>
  <c r="U137" i="2"/>
  <c r="T137" i="2"/>
  <c r="S137" i="2"/>
  <c r="R137" i="2"/>
  <c r="Q137" i="2"/>
  <c r="AD137" i="2" s="1"/>
  <c r="AB136" i="2"/>
  <c r="AA136" i="2"/>
  <c r="Z136" i="2"/>
  <c r="Y136" i="2"/>
  <c r="X136" i="2"/>
  <c r="W136" i="2"/>
  <c r="V136" i="2"/>
  <c r="U136" i="2"/>
  <c r="T136" i="2"/>
  <c r="S136" i="2"/>
  <c r="R136" i="2"/>
  <c r="Q136" i="2"/>
  <c r="AD136" i="2" s="1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AD128" i="2" s="1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AD120" i="2" s="1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AB65" i="2"/>
  <c r="AA65" i="2"/>
  <c r="Z65" i="2"/>
  <c r="Y65" i="2"/>
  <c r="X65" i="2"/>
  <c r="W65" i="2"/>
  <c r="V65" i="2"/>
  <c r="U65" i="2"/>
  <c r="T65" i="2"/>
  <c r="S65" i="2"/>
  <c r="R65" i="2"/>
  <c r="Q65" i="2"/>
  <c r="AB64" i="2"/>
  <c r="AA64" i="2"/>
  <c r="Z64" i="2"/>
  <c r="Y64" i="2"/>
  <c r="X64" i="2"/>
  <c r="W64" i="2"/>
  <c r="V64" i="2"/>
  <c r="U64" i="2"/>
  <c r="T64" i="2"/>
  <c r="S64" i="2"/>
  <c r="R64" i="2"/>
  <c r="Q64" i="2"/>
  <c r="AB63" i="2"/>
  <c r="AA63" i="2"/>
  <c r="Z63" i="2"/>
  <c r="Y63" i="2"/>
  <c r="X63" i="2"/>
  <c r="W63" i="2"/>
  <c r="V63" i="2"/>
  <c r="U63" i="2"/>
  <c r="T63" i="2"/>
  <c r="S63" i="2"/>
  <c r="R63" i="2"/>
  <c r="Q63" i="2"/>
  <c r="AB62" i="2"/>
  <c r="AA62" i="2"/>
  <c r="Z62" i="2"/>
  <c r="Y62" i="2"/>
  <c r="X62" i="2"/>
  <c r="W62" i="2"/>
  <c r="V62" i="2"/>
  <c r="U62" i="2"/>
  <c r="T62" i="2"/>
  <c r="S62" i="2"/>
  <c r="R62" i="2"/>
  <c r="Q62" i="2"/>
  <c r="AB61" i="2"/>
  <c r="AA61" i="2"/>
  <c r="Z61" i="2"/>
  <c r="Y61" i="2"/>
  <c r="X61" i="2"/>
  <c r="W61" i="2"/>
  <c r="V61" i="2"/>
  <c r="U61" i="2"/>
  <c r="T61" i="2"/>
  <c r="S61" i="2"/>
  <c r="R61" i="2"/>
  <c r="Q61" i="2"/>
  <c r="AB60" i="2"/>
  <c r="AA60" i="2"/>
  <c r="Z60" i="2"/>
  <c r="Y60" i="2"/>
  <c r="X60" i="2"/>
  <c r="W60" i="2"/>
  <c r="V60" i="2"/>
  <c r="U60" i="2"/>
  <c r="T60" i="2"/>
  <c r="S60" i="2"/>
  <c r="R60" i="2"/>
  <c r="Q60" i="2"/>
  <c r="AB59" i="2"/>
  <c r="AA59" i="2"/>
  <c r="Z59" i="2"/>
  <c r="Y59" i="2"/>
  <c r="X59" i="2"/>
  <c r="W59" i="2"/>
  <c r="V59" i="2"/>
  <c r="U59" i="2"/>
  <c r="T59" i="2"/>
  <c r="S59" i="2"/>
  <c r="R59" i="2"/>
  <c r="Q59" i="2"/>
  <c r="AB58" i="2"/>
  <c r="AA58" i="2"/>
  <c r="Z58" i="2"/>
  <c r="Y58" i="2"/>
  <c r="X58" i="2"/>
  <c r="W58" i="2"/>
  <c r="V58" i="2"/>
  <c r="U58" i="2"/>
  <c r="T58" i="2"/>
  <c r="S58" i="2"/>
  <c r="R58" i="2"/>
  <c r="Q58" i="2"/>
  <c r="AB57" i="2"/>
  <c r="AA57" i="2"/>
  <c r="Z57" i="2"/>
  <c r="Y57" i="2"/>
  <c r="X57" i="2"/>
  <c r="W57" i="2"/>
  <c r="V57" i="2"/>
  <c r="U57" i="2"/>
  <c r="T57" i="2"/>
  <c r="S57" i="2"/>
  <c r="R57" i="2"/>
  <c r="Q57" i="2"/>
  <c r="AB56" i="2"/>
  <c r="AA56" i="2"/>
  <c r="Z56" i="2"/>
  <c r="Y56" i="2"/>
  <c r="X56" i="2"/>
  <c r="W56" i="2"/>
  <c r="V56" i="2"/>
  <c r="U56" i="2"/>
  <c r="T56" i="2"/>
  <c r="S56" i="2"/>
  <c r="R56" i="2"/>
  <c r="Q56" i="2"/>
  <c r="AB55" i="2"/>
  <c r="AA55" i="2"/>
  <c r="Z55" i="2"/>
  <c r="Y55" i="2"/>
  <c r="X55" i="2"/>
  <c r="W55" i="2"/>
  <c r="V55" i="2"/>
  <c r="U55" i="2"/>
  <c r="T55" i="2"/>
  <c r="S55" i="2"/>
  <c r="R55" i="2"/>
  <c r="Q55" i="2"/>
  <c r="AB54" i="2"/>
  <c r="AA54" i="2"/>
  <c r="Z54" i="2"/>
  <c r="Y54" i="2"/>
  <c r="X54" i="2"/>
  <c r="W54" i="2"/>
  <c r="V54" i="2"/>
  <c r="U54" i="2"/>
  <c r="T54" i="2"/>
  <c r="S54" i="2"/>
  <c r="R54" i="2"/>
  <c r="Q54" i="2"/>
  <c r="AB53" i="2"/>
  <c r="AA53" i="2"/>
  <c r="Z53" i="2"/>
  <c r="Y53" i="2"/>
  <c r="X53" i="2"/>
  <c r="W53" i="2"/>
  <c r="V53" i="2"/>
  <c r="U53" i="2"/>
  <c r="T53" i="2"/>
  <c r="S53" i="2"/>
  <c r="R53" i="2"/>
  <c r="Q53" i="2"/>
  <c r="AB52" i="2"/>
  <c r="AA52" i="2"/>
  <c r="Z52" i="2"/>
  <c r="Y52" i="2"/>
  <c r="X52" i="2"/>
  <c r="W52" i="2"/>
  <c r="V52" i="2"/>
  <c r="U52" i="2"/>
  <c r="T52" i="2"/>
  <c r="S52" i="2"/>
  <c r="R52" i="2"/>
  <c r="Q52" i="2"/>
  <c r="AB51" i="2"/>
  <c r="AA51" i="2"/>
  <c r="Z51" i="2"/>
  <c r="Y51" i="2"/>
  <c r="X51" i="2"/>
  <c r="W51" i="2"/>
  <c r="V51" i="2"/>
  <c r="U51" i="2"/>
  <c r="T51" i="2"/>
  <c r="S51" i="2"/>
  <c r="R51" i="2"/>
  <c r="Q51" i="2"/>
  <c r="AB50" i="2"/>
  <c r="AA50" i="2"/>
  <c r="Z50" i="2"/>
  <c r="Y50" i="2"/>
  <c r="X50" i="2"/>
  <c r="W50" i="2"/>
  <c r="V50" i="2"/>
  <c r="U50" i="2"/>
  <c r="T50" i="2"/>
  <c r="S50" i="2"/>
  <c r="R50" i="2"/>
  <c r="Q50" i="2"/>
  <c r="AB49" i="2"/>
  <c r="AA49" i="2"/>
  <c r="Z49" i="2"/>
  <c r="Y49" i="2"/>
  <c r="X49" i="2"/>
  <c r="W49" i="2"/>
  <c r="V49" i="2"/>
  <c r="U49" i="2"/>
  <c r="T49" i="2"/>
  <c r="S49" i="2"/>
  <c r="R49" i="2"/>
  <c r="Q49" i="2"/>
  <c r="AB48" i="2"/>
  <c r="AA48" i="2"/>
  <c r="Z48" i="2"/>
  <c r="Y48" i="2"/>
  <c r="X48" i="2"/>
  <c r="W48" i="2"/>
  <c r="V48" i="2"/>
  <c r="U48" i="2"/>
  <c r="T48" i="2"/>
  <c r="S48" i="2"/>
  <c r="R48" i="2"/>
  <c r="Q48" i="2"/>
  <c r="AB47" i="2"/>
  <c r="AA47" i="2"/>
  <c r="Z47" i="2"/>
  <c r="Y47" i="2"/>
  <c r="X47" i="2"/>
  <c r="W47" i="2"/>
  <c r="V47" i="2"/>
  <c r="U47" i="2"/>
  <c r="T47" i="2"/>
  <c r="S47" i="2"/>
  <c r="R47" i="2"/>
  <c r="Q47" i="2"/>
  <c r="AB46" i="2"/>
  <c r="AA46" i="2"/>
  <c r="Z46" i="2"/>
  <c r="Y46" i="2"/>
  <c r="X46" i="2"/>
  <c r="W46" i="2"/>
  <c r="V46" i="2"/>
  <c r="U46" i="2"/>
  <c r="T46" i="2"/>
  <c r="S46" i="2"/>
  <c r="R46" i="2"/>
  <c r="Q46" i="2"/>
  <c r="AB45" i="2"/>
  <c r="AA45" i="2"/>
  <c r="Z45" i="2"/>
  <c r="Y45" i="2"/>
  <c r="X45" i="2"/>
  <c r="W45" i="2"/>
  <c r="V45" i="2"/>
  <c r="U45" i="2"/>
  <c r="T45" i="2"/>
  <c r="S45" i="2"/>
  <c r="R45" i="2"/>
  <c r="Q45" i="2"/>
  <c r="AB44" i="2"/>
  <c r="AA44" i="2"/>
  <c r="Z44" i="2"/>
  <c r="Y44" i="2"/>
  <c r="X44" i="2"/>
  <c r="W44" i="2"/>
  <c r="V44" i="2"/>
  <c r="U44" i="2"/>
  <c r="T44" i="2"/>
  <c r="S44" i="2"/>
  <c r="R44" i="2"/>
  <c r="Q44" i="2"/>
  <c r="AB43" i="2"/>
  <c r="AA43" i="2"/>
  <c r="Z43" i="2"/>
  <c r="Y43" i="2"/>
  <c r="X43" i="2"/>
  <c r="W43" i="2"/>
  <c r="V43" i="2"/>
  <c r="U43" i="2"/>
  <c r="T43" i="2"/>
  <c r="S43" i="2"/>
  <c r="R43" i="2"/>
  <c r="Q43" i="2"/>
  <c r="AB42" i="2"/>
  <c r="AA42" i="2"/>
  <c r="Z42" i="2"/>
  <c r="Y42" i="2"/>
  <c r="X42" i="2"/>
  <c r="W42" i="2"/>
  <c r="V42" i="2"/>
  <c r="U42" i="2"/>
  <c r="T42" i="2"/>
  <c r="S42" i="2"/>
  <c r="R42" i="2"/>
  <c r="Q42" i="2"/>
  <c r="AB41" i="2"/>
  <c r="AA41" i="2"/>
  <c r="Z41" i="2"/>
  <c r="Y41" i="2"/>
  <c r="X41" i="2"/>
  <c r="W41" i="2"/>
  <c r="V41" i="2"/>
  <c r="U41" i="2"/>
  <c r="T41" i="2"/>
  <c r="S41" i="2"/>
  <c r="R41" i="2"/>
  <c r="Q41" i="2"/>
  <c r="AB40" i="2"/>
  <c r="AA40" i="2"/>
  <c r="Z40" i="2"/>
  <c r="Y40" i="2"/>
  <c r="X40" i="2"/>
  <c r="W40" i="2"/>
  <c r="V40" i="2"/>
  <c r="U40" i="2"/>
  <c r="T40" i="2"/>
  <c r="S40" i="2"/>
  <c r="R40" i="2"/>
  <c r="Q40" i="2"/>
  <c r="AB39" i="2"/>
  <c r="AA39" i="2"/>
  <c r="Z39" i="2"/>
  <c r="Y39" i="2"/>
  <c r="X39" i="2"/>
  <c r="W39" i="2"/>
  <c r="V39" i="2"/>
  <c r="U39" i="2"/>
  <c r="T39" i="2"/>
  <c r="S39" i="2"/>
  <c r="R39" i="2"/>
  <c r="Q39" i="2"/>
  <c r="AB38" i="2"/>
  <c r="AA38" i="2"/>
  <c r="Z38" i="2"/>
  <c r="Y38" i="2"/>
  <c r="X38" i="2"/>
  <c r="W38" i="2"/>
  <c r="V38" i="2"/>
  <c r="U38" i="2"/>
  <c r="T38" i="2"/>
  <c r="S38" i="2"/>
  <c r="R38" i="2"/>
  <c r="Q38" i="2"/>
  <c r="AB37" i="2"/>
  <c r="AA37" i="2"/>
  <c r="Z37" i="2"/>
  <c r="Y37" i="2"/>
  <c r="X37" i="2"/>
  <c r="W37" i="2"/>
  <c r="V37" i="2"/>
  <c r="U37" i="2"/>
  <c r="T37" i="2"/>
  <c r="S37" i="2"/>
  <c r="R37" i="2"/>
  <c r="Q37" i="2"/>
  <c r="AB36" i="2"/>
  <c r="AA36" i="2"/>
  <c r="Z36" i="2"/>
  <c r="Y36" i="2"/>
  <c r="X36" i="2"/>
  <c r="W36" i="2"/>
  <c r="V36" i="2"/>
  <c r="U36" i="2"/>
  <c r="T36" i="2"/>
  <c r="S36" i="2"/>
  <c r="R36" i="2"/>
  <c r="Q36" i="2"/>
  <c r="AB35" i="2"/>
  <c r="AA35" i="2"/>
  <c r="Z35" i="2"/>
  <c r="Y35" i="2"/>
  <c r="X35" i="2"/>
  <c r="W35" i="2"/>
  <c r="V35" i="2"/>
  <c r="U35" i="2"/>
  <c r="T35" i="2"/>
  <c r="S35" i="2"/>
  <c r="R35" i="2"/>
  <c r="Q35" i="2"/>
  <c r="AB34" i="2"/>
  <c r="AA34" i="2"/>
  <c r="Z34" i="2"/>
  <c r="Y34" i="2"/>
  <c r="X34" i="2"/>
  <c r="W34" i="2"/>
  <c r="V34" i="2"/>
  <c r="U34" i="2"/>
  <c r="T34" i="2"/>
  <c r="S34" i="2"/>
  <c r="R34" i="2"/>
  <c r="Q34" i="2"/>
  <c r="AB33" i="2"/>
  <c r="AA33" i="2"/>
  <c r="Z33" i="2"/>
  <c r="Y33" i="2"/>
  <c r="X33" i="2"/>
  <c r="W33" i="2"/>
  <c r="V33" i="2"/>
  <c r="U33" i="2"/>
  <c r="T33" i="2"/>
  <c r="S33" i="2"/>
  <c r="R33" i="2"/>
  <c r="Q33" i="2"/>
  <c r="AB32" i="2"/>
  <c r="AA32" i="2"/>
  <c r="Z32" i="2"/>
  <c r="Y32" i="2"/>
  <c r="X32" i="2"/>
  <c r="W32" i="2"/>
  <c r="V32" i="2"/>
  <c r="U32" i="2"/>
  <c r="T32" i="2"/>
  <c r="S32" i="2"/>
  <c r="R32" i="2"/>
  <c r="Q32" i="2"/>
  <c r="AB31" i="2"/>
  <c r="AA31" i="2"/>
  <c r="Z31" i="2"/>
  <c r="Y31" i="2"/>
  <c r="X31" i="2"/>
  <c r="W31" i="2"/>
  <c r="V31" i="2"/>
  <c r="U31" i="2"/>
  <c r="T31" i="2"/>
  <c r="S31" i="2"/>
  <c r="R31" i="2"/>
  <c r="Q31" i="2"/>
  <c r="AB30" i="2"/>
  <c r="AA30" i="2"/>
  <c r="Z30" i="2"/>
  <c r="Y30" i="2"/>
  <c r="X30" i="2"/>
  <c r="W30" i="2"/>
  <c r="V30" i="2"/>
  <c r="U30" i="2"/>
  <c r="T30" i="2"/>
  <c r="S30" i="2"/>
  <c r="R30" i="2"/>
  <c r="Q30" i="2"/>
  <c r="AB29" i="2"/>
  <c r="AA29" i="2"/>
  <c r="Z29" i="2"/>
  <c r="Y29" i="2"/>
  <c r="X29" i="2"/>
  <c r="W29" i="2"/>
  <c r="V29" i="2"/>
  <c r="U29" i="2"/>
  <c r="T29" i="2"/>
  <c r="S29" i="2"/>
  <c r="R29" i="2"/>
  <c r="Q29" i="2"/>
  <c r="AB28" i="2"/>
  <c r="AA28" i="2"/>
  <c r="Z28" i="2"/>
  <c r="Y28" i="2"/>
  <c r="X28" i="2"/>
  <c r="W28" i="2"/>
  <c r="V28" i="2"/>
  <c r="U28" i="2"/>
  <c r="T28" i="2"/>
  <c r="S28" i="2"/>
  <c r="R28" i="2"/>
  <c r="Q28" i="2"/>
  <c r="AB27" i="2"/>
  <c r="AA27" i="2"/>
  <c r="Z27" i="2"/>
  <c r="Y27" i="2"/>
  <c r="X27" i="2"/>
  <c r="W27" i="2"/>
  <c r="V27" i="2"/>
  <c r="U27" i="2"/>
  <c r="T27" i="2"/>
  <c r="S27" i="2"/>
  <c r="R27" i="2"/>
  <c r="Q27" i="2"/>
  <c r="AB26" i="2"/>
  <c r="AA26" i="2"/>
  <c r="Z26" i="2"/>
  <c r="Y26" i="2"/>
  <c r="X26" i="2"/>
  <c r="W26" i="2"/>
  <c r="V26" i="2"/>
  <c r="U26" i="2"/>
  <c r="T26" i="2"/>
  <c r="S26" i="2"/>
  <c r="R26" i="2"/>
  <c r="Q26" i="2"/>
  <c r="AB25" i="2"/>
  <c r="AA25" i="2"/>
  <c r="Z25" i="2"/>
  <c r="Y25" i="2"/>
  <c r="X25" i="2"/>
  <c r="W25" i="2"/>
  <c r="V25" i="2"/>
  <c r="U25" i="2"/>
  <c r="T25" i="2"/>
  <c r="S25" i="2"/>
  <c r="R25" i="2"/>
  <c r="Q25" i="2"/>
  <c r="AB24" i="2"/>
  <c r="AA24" i="2"/>
  <c r="Z24" i="2"/>
  <c r="Y24" i="2"/>
  <c r="X24" i="2"/>
  <c r="W24" i="2"/>
  <c r="V24" i="2"/>
  <c r="U24" i="2"/>
  <c r="T24" i="2"/>
  <c r="S24" i="2"/>
  <c r="R24" i="2"/>
  <c r="Q24" i="2"/>
  <c r="AB23" i="2"/>
  <c r="AA23" i="2"/>
  <c r="Z23" i="2"/>
  <c r="Y23" i="2"/>
  <c r="X23" i="2"/>
  <c r="W23" i="2"/>
  <c r="V23" i="2"/>
  <c r="U23" i="2"/>
  <c r="T23" i="2"/>
  <c r="S23" i="2"/>
  <c r="R23" i="2"/>
  <c r="Q23" i="2"/>
  <c r="AB22" i="2"/>
  <c r="AA22" i="2"/>
  <c r="Z22" i="2"/>
  <c r="Y22" i="2"/>
  <c r="X22" i="2"/>
  <c r="W22" i="2"/>
  <c r="V22" i="2"/>
  <c r="U22" i="2"/>
  <c r="T22" i="2"/>
  <c r="S22" i="2"/>
  <c r="R22" i="2"/>
  <c r="Q22" i="2"/>
  <c r="AB21" i="2"/>
  <c r="AA21" i="2"/>
  <c r="Z21" i="2"/>
  <c r="Y21" i="2"/>
  <c r="X21" i="2"/>
  <c r="W21" i="2"/>
  <c r="V21" i="2"/>
  <c r="U21" i="2"/>
  <c r="T21" i="2"/>
  <c r="S21" i="2"/>
  <c r="R21" i="2"/>
  <c r="Q21" i="2"/>
  <c r="AB20" i="2"/>
  <c r="AA20" i="2"/>
  <c r="Z20" i="2"/>
  <c r="Y20" i="2"/>
  <c r="X20" i="2"/>
  <c r="W20" i="2"/>
  <c r="V20" i="2"/>
  <c r="U20" i="2"/>
  <c r="T20" i="2"/>
  <c r="S20" i="2"/>
  <c r="R20" i="2"/>
  <c r="Q20" i="2"/>
  <c r="AB19" i="2"/>
  <c r="AA19" i="2"/>
  <c r="Z19" i="2"/>
  <c r="Y19" i="2"/>
  <c r="X19" i="2"/>
  <c r="W19" i="2"/>
  <c r="V19" i="2"/>
  <c r="U19" i="2"/>
  <c r="T19" i="2"/>
  <c r="S19" i="2"/>
  <c r="R19" i="2"/>
  <c r="Q19" i="2"/>
  <c r="AB18" i="2"/>
  <c r="AA18" i="2"/>
  <c r="Z18" i="2"/>
  <c r="Y18" i="2"/>
  <c r="X18" i="2"/>
  <c r="W18" i="2"/>
  <c r="V18" i="2"/>
  <c r="U18" i="2"/>
  <c r="T18" i="2"/>
  <c r="S18" i="2"/>
  <c r="R18" i="2"/>
  <c r="Q18" i="2"/>
  <c r="AB17" i="2"/>
  <c r="AA17" i="2"/>
  <c r="Z17" i="2"/>
  <c r="Y17" i="2"/>
  <c r="X17" i="2"/>
  <c r="W17" i="2"/>
  <c r="V17" i="2"/>
  <c r="U17" i="2"/>
  <c r="T17" i="2"/>
  <c r="S17" i="2"/>
  <c r="R17" i="2"/>
  <c r="Q17" i="2"/>
  <c r="AB16" i="2"/>
  <c r="AA16" i="2"/>
  <c r="Z16" i="2"/>
  <c r="Y16" i="2"/>
  <c r="X16" i="2"/>
  <c r="W16" i="2"/>
  <c r="V16" i="2"/>
  <c r="U16" i="2"/>
  <c r="T16" i="2"/>
  <c r="S16" i="2"/>
  <c r="R16" i="2"/>
  <c r="Q16" i="2"/>
  <c r="AB15" i="2"/>
  <c r="AA15" i="2"/>
  <c r="Z15" i="2"/>
  <c r="Y15" i="2"/>
  <c r="X15" i="2"/>
  <c r="W15" i="2"/>
  <c r="V15" i="2"/>
  <c r="U15" i="2"/>
  <c r="T15" i="2"/>
  <c r="S15" i="2"/>
  <c r="R15" i="2"/>
  <c r="Q15" i="2"/>
  <c r="AB14" i="2"/>
  <c r="AA14" i="2"/>
  <c r="Z14" i="2"/>
  <c r="Y14" i="2"/>
  <c r="X14" i="2"/>
  <c r="W14" i="2"/>
  <c r="V14" i="2"/>
  <c r="U14" i="2"/>
  <c r="T14" i="2"/>
  <c r="S14" i="2"/>
  <c r="R14" i="2"/>
  <c r="Q14" i="2"/>
  <c r="AB13" i="2"/>
  <c r="AA13" i="2"/>
  <c r="Z13" i="2"/>
  <c r="Y13" i="2"/>
  <c r="X13" i="2"/>
  <c r="W13" i="2"/>
  <c r="V13" i="2"/>
  <c r="U13" i="2"/>
  <c r="T13" i="2"/>
  <c r="S13" i="2"/>
  <c r="R13" i="2"/>
  <c r="Q13" i="2"/>
  <c r="AB12" i="2"/>
  <c r="AA12" i="2"/>
  <c r="Z12" i="2"/>
  <c r="Y12" i="2"/>
  <c r="X12" i="2"/>
  <c r="W12" i="2"/>
  <c r="V12" i="2"/>
  <c r="U12" i="2"/>
  <c r="T12" i="2"/>
  <c r="S12" i="2"/>
  <c r="R12" i="2"/>
  <c r="Q12" i="2"/>
  <c r="AB11" i="2"/>
  <c r="AA11" i="2"/>
  <c r="Z11" i="2"/>
  <c r="Y11" i="2"/>
  <c r="X11" i="2"/>
  <c r="W11" i="2"/>
  <c r="V11" i="2"/>
  <c r="U11" i="2"/>
  <c r="T11" i="2"/>
  <c r="S11" i="2"/>
  <c r="R11" i="2"/>
  <c r="Q11" i="2"/>
  <c r="AB10" i="2"/>
  <c r="AA10" i="2"/>
  <c r="Z10" i="2"/>
  <c r="Y10" i="2"/>
  <c r="X10" i="2"/>
  <c r="W10" i="2"/>
  <c r="V10" i="2"/>
  <c r="U10" i="2"/>
  <c r="T10" i="2"/>
  <c r="S10" i="2"/>
  <c r="R10" i="2"/>
  <c r="Q10" i="2"/>
  <c r="AB9" i="2"/>
  <c r="AA9" i="2"/>
  <c r="Z9" i="2"/>
  <c r="Y9" i="2"/>
  <c r="X9" i="2"/>
  <c r="W9" i="2"/>
  <c r="V9" i="2"/>
  <c r="U9" i="2"/>
  <c r="T9" i="2"/>
  <c r="S9" i="2"/>
  <c r="R9" i="2"/>
  <c r="Q9" i="2"/>
  <c r="AB8" i="2"/>
  <c r="AA8" i="2"/>
  <c r="Z8" i="2"/>
  <c r="Y8" i="2"/>
  <c r="X8" i="2"/>
  <c r="W8" i="2"/>
  <c r="V8" i="2"/>
  <c r="U8" i="2"/>
  <c r="T8" i="2"/>
  <c r="S8" i="2"/>
  <c r="R8" i="2"/>
  <c r="Q8" i="2"/>
  <c r="AB7" i="2"/>
  <c r="AA7" i="2"/>
  <c r="Z7" i="2"/>
  <c r="Y7" i="2"/>
  <c r="X7" i="2"/>
  <c r="W7" i="2"/>
  <c r="V7" i="2"/>
  <c r="U7" i="2"/>
  <c r="T7" i="2"/>
  <c r="S7" i="2"/>
  <c r="R7" i="2"/>
  <c r="Q7" i="2"/>
  <c r="AB6" i="2"/>
  <c r="AA6" i="2"/>
  <c r="Z6" i="2"/>
  <c r="Y6" i="2"/>
  <c r="X6" i="2"/>
  <c r="W6" i="2"/>
  <c r="V6" i="2"/>
  <c r="U6" i="2"/>
  <c r="T6" i="2"/>
  <c r="S6" i="2"/>
  <c r="R6" i="2"/>
  <c r="Q6" i="2"/>
  <c r="AB5" i="2"/>
  <c r="AA5" i="2"/>
  <c r="Z5" i="2"/>
  <c r="Y5" i="2"/>
  <c r="X5" i="2"/>
  <c r="W5" i="2"/>
  <c r="V5" i="2"/>
  <c r="U5" i="2"/>
  <c r="T5" i="2"/>
  <c r="S5" i="2"/>
  <c r="R5" i="2"/>
  <c r="Q5" i="2"/>
  <c r="AB4" i="2"/>
  <c r="AA4" i="2"/>
  <c r="Z4" i="2"/>
  <c r="Y4" i="2"/>
  <c r="X4" i="2"/>
  <c r="W4" i="2"/>
  <c r="V4" i="2"/>
  <c r="U4" i="2"/>
  <c r="T4" i="2"/>
  <c r="S4" i="2"/>
  <c r="R4" i="2"/>
  <c r="Q4" i="2"/>
  <c r="AB3" i="2"/>
  <c r="AB326" i="2" s="1"/>
  <c r="AA3" i="2"/>
  <c r="AA326" i="2" s="1"/>
  <c r="Z3" i="2"/>
  <c r="Y3" i="2"/>
  <c r="X3" i="2"/>
  <c r="X326" i="2" s="1"/>
  <c r="W3" i="2"/>
  <c r="W326" i="2" s="1"/>
  <c r="V3" i="2"/>
  <c r="U3" i="2"/>
  <c r="T3" i="2"/>
  <c r="T326" i="2" s="1"/>
  <c r="S3" i="2"/>
  <c r="S326" i="2" s="1"/>
  <c r="R3" i="2"/>
  <c r="Q3" i="2"/>
  <c r="A1" i="2"/>
  <c r="AD68" i="2" l="1"/>
  <c r="AD76" i="2"/>
  <c r="AD84" i="2"/>
  <c r="AD92" i="2"/>
  <c r="AD100" i="2"/>
  <c r="AD108" i="2"/>
  <c r="AD116" i="2"/>
  <c r="AD124" i="2"/>
  <c r="AD132" i="2"/>
  <c r="AD139" i="2"/>
  <c r="AD141" i="2"/>
  <c r="AD143" i="2"/>
  <c r="AD159" i="2"/>
  <c r="AD161" i="2"/>
  <c r="AD195" i="2"/>
  <c r="AD197" i="2"/>
  <c r="AD199" i="2"/>
  <c r="AD201" i="2"/>
  <c r="AD203" i="2"/>
  <c r="AD80" i="2"/>
  <c r="AD88" i="2"/>
  <c r="AD112" i="2"/>
  <c r="AD72" i="2"/>
  <c r="AD96" i="2"/>
  <c r="AD180" i="2"/>
  <c r="AD184" i="2"/>
  <c r="AD186" i="2"/>
  <c r="AD188" i="2"/>
  <c r="AD204" i="2"/>
  <c r="AD104" i="2"/>
  <c r="AD69" i="2"/>
  <c r="AD73" i="2"/>
  <c r="AD77" i="2"/>
  <c r="AD81" i="2"/>
  <c r="AD85" i="2"/>
  <c r="AD89" i="2"/>
  <c r="AD93" i="2"/>
  <c r="AD97" i="2"/>
  <c r="AD101" i="2"/>
  <c r="AD105" i="2"/>
  <c r="AD109" i="2"/>
  <c r="AD113" i="2"/>
  <c r="AD117" i="2"/>
  <c r="AD121" i="2"/>
  <c r="AD125" i="2"/>
  <c r="AD129" i="2"/>
  <c r="AD133" i="2"/>
  <c r="Q326" i="2"/>
  <c r="Y326" i="2"/>
  <c r="AD6" i="2"/>
  <c r="AD7" i="2"/>
  <c r="AD8" i="2"/>
  <c r="AD10" i="2"/>
  <c r="AD12" i="2"/>
  <c r="AD13" i="2"/>
  <c r="AD14" i="2"/>
  <c r="AD15" i="2"/>
  <c r="AD17" i="2"/>
  <c r="AD19" i="2"/>
  <c r="AD20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U326" i="2"/>
  <c r="AD4" i="2"/>
  <c r="AD5" i="2"/>
  <c r="AD9" i="2"/>
  <c r="AD11" i="2"/>
  <c r="AD16" i="2"/>
  <c r="AD18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70" i="2"/>
  <c r="AD74" i="2"/>
  <c r="AD78" i="2"/>
  <c r="AD82" i="2"/>
  <c r="AD86" i="2"/>
  <c r="AD90" i="2"/>
  <c r="AD94" i="2"/>
  <c r="AD98" i="2"/>
  <c r="AD102" i="2"/>
  <c r="AD106" i="2"/>
  <c r="AD110" i="2"/>
  <c r="AD114" i="2"/>
  <c r="AD118" i="2"/>
  <c r="AD122" i="2"/>
  <c r="AD126" i="2"/>
  <c r="AD130" i="2"/>
  <c r="AD134" i="2"/>
  <c r="AD194" i="2"/>
  <c r="R326" i="2"/>
  <c r="V326" i="2"/>
  <c r="Z326" i="2"/>
  <c r="AD67" i="2"/>
  <c r="AD71" i="2"/>
  <c r="AD75" i="2"/>
  <c r="AD79" i="2"/>
  <c r="AD83" i="2"/>
  <c r="AD87" i="2"/>
  <c r="AD91" i="2"/>
  <c r="AD95" i="2"/>
  <c r="AD99" i="2"/>
  <c r="AD103" i="2"/>
  <c r="AD107" i="2"/>
  <c r="AD111" i="2"/>
  <c r="AD115" i="2"/>
  <c r="AD119" i="2"/>
  <c r="AD123" i="2"/>
  <c r="AD127" i="2"/>
  <c r="AD131" i="2"/>
  <c r="AD135" i="2"/>
</calcChain>
</file>

<file path=xl/sharedStrings.xml><?xml version="1.0" encoding="utf-8"?>
<sst xmlns="http://schemas.openxmlformats.org/spreadsheetml/2006/main" count="5868" uniqueCount="1501">
  <si>
    <t>CAP Survey Summary – PD2 Department (All Machines)</t>
  </si>
  <si>
    <t>Sheet</t>
  </si>
  <si>
    <t>Department</t>
  </si>
  <si>
    <t>Line</t>
  </si>
  <si>
    <t>M/C</t>
  </si>
  <si>
    <t>Part SAMCO</t>
  </si>
  <si>
    <t>P/Name, P/No.</t>
  </si>
  <si>
    <t>Customer</t>
  </si>
  <si>
    <t>CT
(min/pc)</t>
  </si>
  <si>
    <t>PPH
(pcs/hr)</t>
  </si>
  <si>
    <t>8Hr
(pcs/day)</t>
  </si>
  <si>
    <t>11Hr
(pcs/day)</t>
  </si>
  <si>
    <t>Efficiency</t>
  </si>
  <si>
    <t>LC65,66</t>
  </si>
  <si>
    <t>PD2</t>
  </si>
  <si>
    <t>OPM01</t>
  </si>
  <si>
    <t>Coupling Driving  8983980750</t>
  </si>
  <si>
    <t>RST</t>
  </si>
  <si>
    <t>LC67,68</t>
  </si>
  <si>
    <t>OPM02</t>
  </si>
  <si>
    <t>MC-18</t>
  </si>
  <si>
    <t>OPM03</t>
  </si>
  <si>
    <t>SP-02</t>
  </si>
  <si>
    <t>PD2-2</t>
  </si>
  <si>
    <t>Coupling Driving  8977980610</t>
  </si>
  <si>
    <t>FLANGE HUB 8981978690</t>
  </si>
  <si>
    <t>IMCT</t>
  </si>
  <si>
    <t>SP-01</t>
  </si>
  <si>
    <t>GD-04</t>
  </si>
  <si>
    <t>Grinding</t>
  </si>
  <si>
    <t>LC69,70,LC30,31</t>
  </si>
  <si>
    <t>OPM1-2</t>
  </si>
  <si>
    <t>MC16</t>
  </si>
  <si>
    <t>GD-01</t>
  </si>
  <si>
    <t>LC-77</t>
  </si>
  <si>
    <t>FLANGE; IDLE SHAFT A 7551854530</t>
  </si>
  <si>
    <t>IEMT</t>
  </si>
  <si>
    <t>LC63,64</t>
  </si>
  <si>
    <t>Opm1-2</t>
  </si>
  <si>
    <t>M/C  HUB  4H  (0243)</t>
  </si>
  <si>
    <t>TFC</t>
  </si>
  <si>
    <t>LC03,04</t>
  </si>
  <si>
    <t>NUT 90179-14074-C</t>
  </si>
  <si>
    <t>KE</t>
  </si>
  <si>
    <t>NUT 90179-16033-F</t>
  </si>
  <si>
    <t>LC49,48</t>
  </si>
  <si>
    <t>JOINT 50246-MKP-J000-H1</t>
  </si>
  <si>
    <t>CCI</t>
  </si>
  <si>
    <t>HUB 821054-3780</t>
  </si>
  <si>
    <t>TBKK</t>
  </si>
  <si>
    <t>FLANGE J123-13700 MODEL : 4N15 (SU)</t>
  </si>
  <si>
    <t>FLANGE J123-12100  MODEL YP51</t>
  </si>
  <si>
    <t>LC35,46</t>
  </si>
  <si>
    <t>BOSS R HNDL 53101-MKN-D100-H1</t>
  </si>
  <si>
    <t>BOSS L HNDL 53151-MKN-D100-H1</t>
  </si>
  <si>
    <t xml:space="preserve">INERTIA 06689(14-06689-A01)  </t>
  </si>
  <si>
    <t xml:space="preserve">HOOK: RRT TOW ( PART-NO.8941832620 ) </t>
  </si>
  <si>
    <t>IGCE</t>
  </si>
  <si>
    <t>MC03</t>
  </si>
  <si>
    <t>Opm3</t>
  </si>
  <si>
    <t>MC17</t>
  </si>
  <si>
    <t>MC-21</t>
  </si>
  <si>
    <t>Opm03</t>
  </si>
  <si>
    <t>PIECE PIVOT 50530-MKP-J800-21</t>
  </si>
  <si>
    <t>HOOK;FRAME 8983144420</t>
  </si>
  <si>
    <t>HOOK;FRAME 8983144430</t>
  </si>
  <si>
    <t xml:space="preserve">HOOK 8979482370 </t>
  </si>
  <si>
    <t xml:space="preserve">HOOK;FRONT  (PART-NO. 8979480250) </t>
  </si>
  <si>
    <t xml:space="preserve">HOOK:FRT TOW ( PART-NO. 8979251860 ) </t>
  </si>
  <si>
    <t>HOOK; TOWING 8975029380</t>
  </si>
  <si>
    <t>HOOK; RR TOW  8983441080</t>
  </si>
  <si>
    <t>CMG-001</t>
  </si>
  <si>
    <t xml:space="preserve">CAM CLUTCH MCD70816/9000D8601100TE (04JYAQC41500) </t>
  </si>
  <si>
    <t>KG</t>
  </si>
  <si>
    <t xml:space="preserve">CAM CLUTCH MCD70816/ (04JYAAN41500)Ourter race N </t>
  </si>
  <si>
    <t>OUTER RACE AN (CAM CLUTCH) 04JTRCA41500</t>
  </si>
  <si>
    <t>LC-66</t>
  </si>
  <si>
    <t>LC-68</t>
  </si>
  <si>
    <t>LC-31</t>
  </si>
  <si>
    <t>LC-64</t>
  </si>
  <si>
    <t>-</t>
  </si>
  <si>
    <t xml:space="preserve">Shifter Clutch Dog  57621-986L0   </t>
  </si>
  <si>
    <t>OGUSU</t>
  </si>
  <si>
    <t>LC30,31</t>
  </si>
  <si>
    <t>MC-22,09</t>
  </si>
  <si>
    <t>PD2-3</t>
  </si>
  <si>
    <t>MC-22, 09</t>
  </si>
  <si>
    <t>BRACKET: CONVER TER,A 8981966961</t>
  </si>
  <si>
    <t>MC-11</t>
  </si>
  <si>
    <t>BRACKET: CONVER TER,B 8982037390</t>
  </si>
  <si>
    <t xml:space="preserve">Bracket;Converte A Part No: 8976544430 </t>
  </si>
  <si>
    <t xml:space="preserve">Bracket;Converte B Part No: 8976544440  </t>
  </si>
  <si>
    <t>MC10</t>
  </si>
  <si>
    <t>MC-04</t>
  </si>
  <si>
    <t>PIN FP0651-TFC-00</t>
  </si>
  <si>
    <t>LC11-12</t>
  </si>
  <si>
    <t>JOINT SEATRAIL UP (50245-MGZA-J000-H1)</t>
  </si>
  <si>
    <t>JOINT SEAT RAIL LWR (50246-MGZA-J000-H1)</t>
  </si>
  <si>
    <t>PIECE,UNDER 50101-K1TA-E100-23</t>
  </si>
  <si>
    <t>PIECE,UPPER 50101-K1TA-E100-21</t>
  </si>
  <si>
    <t xml:space="preserve">COUPLING (52) TC412-22821 </t>
  </si>
  <si>
    <t>LC09-10</t>
  </si>
  <si>
    <t xml:space="preserve">RM20160014 RING BUSH O108 (84-GB779-A00)   </t>
  </si>
  <si>
    <t xml:space="preserve"> RING BUSH O85 (84-GB722-A00)   </t>
  </si>
  <si>
    <t>LC16-17</t>
  </si>
  <si>
    <t>PIN FORGING MACHINE IE 83-VB417-A00 (10.1850.00012)</t>
  </si>
  <si>
    <t xml:space="preserve">PIN BUSH SIDE 85 (82-GB781-A00)  </t>
  </si>
  <si>
    <t>LC74-75</t>
  </si>
  <si>
    <t xml:space="preserve">PIN BUSH DIA108 82-GB778-A00 </t>
  </si>
  <si>
    <t xml:space="preserve">PIN 95  MACHINE  MV (W-EN 00609011) </t>
  </si>
  <si>
    <t>MC-13</t>
  </si>
  <si>
    <t>MC-15</t>
  </si>
  <si>
    <t>LC-24</t>
  </si>
  <si>
    <t>PIECE,PIVOT 50531-K1TA-E100-H1</t>
  </si>
  <si>
    <t>PIECE PIVOT 50530-KZZ-D200-H1</t>
  </si>
  <si>
    <t>PIECE PIVOT(PP-T) 50530-MJEA-D000-HI</t>
  </si>
  <si>
    <t>MC-19</t>
  </si>
  <si>
    <t>MC-19-เสีย</t>
  </si>
  <si>
    <t>MC-02</t>
  </si>
  <si>
    <t>MC-02 เสีย</t>
  </si>
  <si>
    <t>HOOK;FRT TOW (8979480260)</t>
  </si>
  <si>
    <t>LC-23</t>
  </si>
  <si>
    <t>PIN FX16-0630-00</t>
  </si>
  <si>
    <t xml:space="preserve">PIN FX16-0631-00 </t>
  </si>
  <si>
    <t>MC-09</t>
  </si>
  <si>
    <t>LC-72</t>
  </si>
  <si>
    <t>LC-76</t>
  </si>
  <si>
    <t>MC-23</t>
  </si>
  <si>
    <t>LC-04</t>
  </si>
  <si>
    <t>LC-05</t>
  </si>
  <si>
    <t>LC-12</t>
  </si>
  <si>
    <t>PEACE UPPER NO.5 50101-KZZA-9001-23</t>
  </si>
  <si>
    <t>LC-17</t>
  </si>
  <si>
    <t>LC-10</t>
  </si>
  <si>
    <t xml:space="preserve">BAR RR 50211-K0G-9000-HI </t>
  </si>
  <si>
    <t>CVS</t>
  </si>
  <si>
    <t>LC-75</t>
  </si>
  <si>
    <t>6'' GLAND W/ POPPET PC21036</t>
  </si>
  <si>
    <t>BPS</t>
  </si>
  <si>
    <t>P8-FW01,03</t>
  </si>
  <si>
    <t>Friction Weiling</t>
  </si>
  <si>
    <t>ROD ASSY-TORQ WITH BUSH 8982190061 (L=525)</t>
  </si>
  <si>
    <t>ROD ASSY-TORQ WITH BUSH 8982190101 (L=550)</t>
  </si>
  <si>
    <t>ROD ASSY-TORQUE WITH BUSH 8982190111 (L=555)</t>
  </si>
  <si>
    <t>ROD ASSY-TORQ WITH BUSH 8982190071 (L=535)</t>
  </si>
  <si>
    <t>ROD ASSY-TORQ WITH BUSH 8982190041 (L=515)</t>
  </si>
  <si>
    <t>ROD ASSY-TORQUE WITH BUSH 8982190091 (L=545)</t>
  </si>
  <si>
    <t xml:space="preserve">ROD;TORQUE  L570 (8983132370) </t>
  </si>
  <si>
    <t xml:space="preserve">ROD;TORQUE  L590 (8983132390) </t>
  </si>
  <si>
    <t xml:space="preserve">ROD;TORQUE  L560 (8983359480)  </t>
  </si>
  <si>
    <t>ROD;TORQUE  L575 (8983386490)</t>
  </si>
  <si>
    <t xml:space="preserve">ROD ASSY'T-ROD  (8983386410) </t>
  </si>
  <si>
    <t>ROD;TORQUE  L565 (8983132360)</t>
  </si>
  <si>
    <t>ROD ASSY-TORQUE WITH BUSH FP21-0020-THA00 S48G0-EW150</t>
  </si>
  <si>
    <t>ROD ASSY-TORQUE WITH BUSH FP21-0019-THA00 S48G0-EW140</t>
  </si>
  <si>
    <t>ROD ASM:TORQUE RR SUSP </t>
  </si>
  <si>
    <t>P8L1</t>
  </si>
  <si>
    <t>Machine Tube</t>
  </si>
  <si>
    <t>P8L-1</t>
  </si>
  <si>
    <t>LC-56,55</t>
  </si>
  <si>
    <t>OPm1-2</t>
  </si>
  <si>
    <t>LC56, 55</t>
  </si>
  <si>
    <t>LC-59.57</t>
  </si>
  <si>
    <t>OPM1,2</t>
  </si>
  <si>
    <t>LC59,57</t>
  </si>
  <si>
    <t>END-V ROD 82-GB775-A00</t>
  </si>
  <si>
    <t>LC58,54</t>
  </si>
  <si>
    <t>Opm1,2</t>
  </si>
  <si>
    <t>LC-58,54</t>
  </si>
  <si>
    <t>HUB PULLEY 11-01874-A00</t>
  </si>
  <si>
    <t>P8-FW-02</t>
  </si>
  <si>
    <t>PD2-4</t>
  </si>
  <si>
    <t>ROD ASM;TORQUE,F 8983640020 (L595)</t>
  </si>
  <si>
    <t>P8-FW-03</t>
  </si>
  <si>
    <t>LC-56</t>
  </si>
  <si>
    <t>OPm1</t>
  </si>
  <si>
    <t>LC-57</t>
  </si>
  <si>
    <t>MC -27</t>
  </si>
  <si>
    <t>BRACKET ; EXHAUST 8983140610</t>
  </si>
  <si>
    <t>BRACKET ; EXHAUST 8975510190</t>
  </si>
  <si>
    <t>BRACKET;EXHAUST MOUNTING 8976725160</t>
  </si>
  <si>
    <t>BRACKET;EXHAUST MOUNTING 8976769200</t>
  </si>
  <si>
    <t>BRACKET ; EXHAUST 8979486750</t>
  </si>
  <si>
    <t>BRACKET A 8983323110</t>
  </si>
  <si>
    <t>G.R.K.G 6" (165-183)-TEST 260-05-06165-TEST</t>
  </si>
  <si>
    <t>BRACKET STOPPER (8974892590)</t>
  </si>
  <si>
    <t>NSSB</t>
  </si>
  <si>
    <t xml:space="preserve">BRACKET V ROD 17.5-898325115Z (8983251171) </t>
  </si>
  <si>
    <t>BRACKET V ROD 18.5 H 8983251181</t>
  </si>
  <si>
    <t>BRACKET V ROD (FWD-Rr)5JX2759170(8975299350)</t>
  </si>
  <si>
    <t xml:space="preserve">BRACKET V ROD (RWD-Rr)5JX2761730(8975322420) </t>
  </si>
  <si>
    <t>BRACKET; V-ROD,FWD REAR AXLE 897275270</t>
  </si>
  <si>
    <t>BRACKET; V-ROD,FWD REAR AXLE 897275300</t>
  </si>
  <si>
    <t>ADAPTER SUPPLY 8983322710</t>
  </si>
  <si>
    <t>LC-84</t>
  </si>
  <si>
    <t>LC-85</t>
  </si>
  <si>
    <t>MC -28</t>
  </si>
  <si>
    <t>BRACKET B 8983323120</t>
  </si>
  <si>
    <t>PULLEY ASM;CRANK 8982895850</t>
  </si>
  <si>
    <t>PULLEY;WATER PULLEY 8983684690</t>
  </si>
  <si>
    <t>R-07</t>
  </si>
  <si>
    <t>CONNECTOR CLUTCH 8982789370</t>
  </si>
  <si>
    <t>MC -26</t>
  </si>
  <si>
    <t>SPACER ; MTG 8983535420</t>
  </si>
  <si>
    <t>PLATE ; CASTER 8983542420</t>
  </si>
  <si>
    <t>PLATE ; CASTER 8983542430</t>
  </si>
  <si>
    <t>PLATE ; CASTER 8983542440</t>
  </si>
  <si>
    <t>PLATE ; CASTER 8983542450</t>
  </si>
  <si>
    <t>PLATE ; CASTER 8983542460</t>
  </si>
  <si>
    <t>SPACER 8983103470</t>
  </si>
  <si>
    <t>LC-90</t>
  </si>
  <si>
    <t>MC - 25</t>
  </si>
  <si>
    <t>MC -25</t>
  </si>
  <si>
    <t>BRACKET DPD 8983307021</t>
  </si>
  <si>
    <t>MC-06</t>
  </si>
  <si>
    <t>BRACKET;SHOCK ABSORBER 8979484980</t>
  </si>
  <si>
    <t>BRACKET ASM;FRT(LH) 8979485000</t>
  </si>
  <si>
    <t>BRACKET ;SHOCK ABSORBER 8979484970</t>
  </si>
  <si>
    <t xml:space="preserve">BRACKET ASM;FRT(RH) 8979484990 </t>
  </si>
  <si>
    <t xml:space="preserve">Bracket SHOCK AB 8983118071  </t>
  </si>
  <si>
    <t xml:space="preserve">Bracket SHOCK AB 8983118081 </t>
  </si>
  <si>
    <t>LC-86</t>
  </si>
  <si>
    <t>R06</t>
  </si>
  <si>
    <t>PLC03</t>
  </si>
  <si>
    <t>LC-02</t>
  </si>
  <si>
    <t>LC77-78</t>
  </si>
  <si>
    <t>LC-81</t>
  </si>
  <si>
    <t>BOSS  13061-2104</t>
  </si>
  <si>
    <t xml:space="preserve">PIN;FRONT SPRING 151161-0310 (8979481410) </t>
  </si>
  <si>
    <t>LC-82</t>
  </si>
  <si>
    <t>GD05</t>
  </si>
  <si>
    <t>LC28</t>
  </si>
  <si>
    <t>MC-08</t>
  </si>
  <si>
    <t>LC-87</t>
  </si>
  <si>
    <t>LC-88</t>
  </si>
  <si>
    <t>LC-89</t>
  </si>
  <si>
    <t>MC - 29</t>
  </si>
  <si>
    <t>MC -29</t>
  </si>
  <si>
    <t>MC-07</t>
  </si>
  <si>
    <t>PLATE;CASTER,LEA (8982007480)</t>
  </si>
  <si>
    <t>MC - 24</t>
  </si>
  <si>
    <t>MC -24</t>
  </si>
  <si>
    <t>LC-91</t>
  </si>
  <si>
    <t>Y2024</t>
  </si>
  <si>
    <t>3 months</t>
  </si>
  <si>
    <t>Code</t>
  </si>
  <si>
    <t>Part Name / Part No</t>
  </si>
  <si>
    <t>Price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</si>
  <si>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</si>
  <si>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</si>
  <si>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</si>
  <si>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</si>
  <si>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</si>
  <si>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</si>
  <si>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</si>
  <si>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</si>
  <si>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</si>
  <si>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</si>
  <si>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</si>
  <si>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</si>
  <si>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</si>
  <si>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</si>
  <si>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</si>
  <si>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</si>
  <si>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</si>
  <si>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</si>
  <si>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</si>
  <si>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</si>
  <si>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</si>
  <si>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</si>
  <si>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</si>
  <si>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Avg</t>
  </si>
  <si>
    <t>AMORI</t>
  </si>
  <si>
    <t>Spaecer,Rear Spindle (46112-67L80)</t>
  </si>
  <si>
    <t>ASA</t>
  </si>
  <si>
    <t>U BOLT ; SPRING  8979489380</t>
  </si>
  <si>
    <t>U BOLT ; FT SPRING 8979485100</t>
  </si>
  <si>
    <t>U BOLT ; FT SPRING 8979485110</t>
  </si>
  <si>
    <t>U-BOLT; FT SPRING 8979485121</t>
  </si>
  <si>
    <t>U BOLT ; LEAF SPRING 8979485060</t>
  </si>
  <si>
    <t>U BOLT ; LEAF SPRING 8979485070</t>
  </si>
  <si>
    <t>U BOLT ; LEAF SPRING 8979485090</t>
  </si>
  <si>
    <t>U BOLT ; SPRING 8979484730</t>
  </si>
  <si>
    <t>U BOLT ; AIR TANK 8979484750</t>
  </si>
  <si>
    <t>U BOLT ; LEAF  SPRING 8979485150</t>
  </si>
  <si>
    <t>U BOLT ; LEAF SPRING 8979484740</t>
  </si>
  <si>
    <t xml:space="preserve">U-BOLT;LEAF,SPRI 8983132900 </t>
  </si>
  <si>
    <t xml:space="preserve">U BOLT L=410 (8983535750)   </t>
  </si>
  <si>
    <t>U-Bolt ;SPRING (L-490) 898083310</t>
  </si>
  <si>
    <t xml:space="preserve">U BOLT;LEAF SPRI 8983385610   </t>
  </si>
  <si>
    <t>U BOLT ; 8976609101</t>
  </si>
  <si>
    <t>ATC</t>
  </si>
  <si>
    <t>DRIVER GRIP SMALL TLS41-00001-BL S</t>
  </si>
  <si>
    <t>COLLAR ASSY TLS35-07614</t>
  </si>
  <si>
    <t>DRIVER SCREW NO.2 132+- TLS42-06603-CR S</t>
  </si>
  <si>
    <t>WRENCH-HUB NUT TLS50-08660</t>
  </si>
  <si>
    <t xml:space="preserve">DRIVER SCREW MINUS PLUS NO.2 TLS42-10790 </t>
  </si>
  <si>
    <t xml:space="preserve">DRIVER SCREW  PLUS MINUS NO.TLS42-10793    </t>
  </si>
  <si>
    <t xml:space="preserve">SPANNER 8-12 (TLS10-11872)    </t>
  </si>
  <si>
    <t>SPANNER 10X12  NC TLS11-05525</t>
  </si>
  <si>
    <t>SPANNER 14X17 TLS13-05546</t>
  </si>
  <si>
    <t>SPANNER 12X14 (NC)TLS12-05531</t>
  </si>
  <si>
    <t xml:space="preserve">SPANNER 14x17 (NC)TLS13-05571 </t>
  </si>
  <si>
    <t>EYE WRENCH 19  TLS14-00007</t>
  </si>
  <si>
    <t xml:space="preserve">EYE WRENCHCH 22 TLS15-05547  </t>
  </si>
  <si>
    <t>EYE WRENCH 24 TLS 16-05549</t>
  </si>
  <si>
    <t>PLIER 135 MM.TLS20-05550</t>
  </si>
  <si>
    <t>WRENCH HEXAGON M6 TLS72-11895</t>
  </si>
  <si>
    <t>EYE WRENCH 17  TLS17-11894</t>
  </si>
  <si>
    <t>SPANNER 8X10 (NC) TLS10-05530</t>
  </si>
  <si>
    <t>SPANNER 10x12 (NC) TLS11-05570</t>
  </si>
  <si>
    <t>EYE WRENCH 19 TLS14-09746</t>
  </si>
  <si>
    <t>PIN SPANNER TLS19-10802</t>
  </si>
  <si>
    <t>SPANNER 8X10 TLS10-05545</t>
  </si>
  <si>
    <t>HEX,WRENCH 5 TLS71-12914</t>
  </si>
  <si>
    <t xml:space="preserve">SPANNER 10X14 (TLS11-10854)                       </t>
  </si>
  <si>
    <t>BM</t>
  </si>
  <si>
    <t>Flange RMFG-034</t>
  </si>
  <si>
    <t xml:space="preserve">PIECE PIVOT 50531-KZZA-9000-H1 </t>
  </si>
  <si>
    <t>PEACE UNDER NO.4 50101-KZZA-9001-23</t>
  </si>
  <si>
    <t>JOINT GRAB RAIL (50262-MGZA-J000-H1)</t>
  </si>
  <si>
    <t>BAR COMP 50530-K0G-9001</t>
  </si>
  <si>
    <t>BAR COMP 50530-K0G-9400</t>
  </si>
  <si>
    <t>COLLAR 40544-K0GA-9000-H1</t>
  </si>
  <si>
    <t xml:space="preserve">BOSS HANDLE BX9-F221-00   </t>
  </si>
  <si>
    <t>SPACER 8983608740</t>
  </si>
  <si>
    <t>UNION ASM; EYE 8982926560</t>
  </si>
  <si>
    <t>5246-I</t>
  </si>
  <si>
    <t xml:space="preserve">BRACKET B   </t>
  </si>
  <si>
    <t>กรวิทย์</t>
  </si>
  <si>
    <t>OUT NUT TRAILER HOOK FR</t>
  </si>
  <si>
    <t>OUTER RACE G</t>
  </si>
  <si>
    <t>6163-2</t>
  </si>
  <si>
    <t>LP</t>
  </si>
  <si>
    <t>COMPACT ELBOW</t>
  </si>
  <si>
    <t>M&amp;T</t>
  </si>
  <si>
    <t xml:space="preserve">CHANGE LEVER;lower </t>
  </si>
  <si>
    <t>NASCO</t>
  </si>
  <si>
    <t xml:space="preserve">Outer Race AD  PART NO :MCD70820  </t>
  </si>
  <si>
    <t>Outer Race A PART NO : MCD60816</t>
  </si>
  <si>
    <t>Lever Pivot( K34414226-3)</t>
  </si>
  <si>
    <t xml:space="preserve">LEVER (PIVOT,BLACK FLAKE) K9002-2075-A  </t>
  </si>
  <si>
    <t>5902-F</t>
  </si>
  <si>
    <t>RATO</t>
  </si>
  <si>
    <t xml:space="preserve">DRIVER SCREW PLUS NO.3 125+ (DC-05001-C3) </t>
  </si>
  <si>
    <t>PLIER 135 MM PL-03001-C3</t>
  </si>
  <si>
    <t>Driver screw minus,plus 130± no.2 DC-03003-C3</t>
  </si>
  <si>
    <t>Driver grip small DG-03001-C3</t>
  </si>
  <si>
    <t xml:space="preserve">Driver screw minus,plus no.2(160) DC-07001-C3 </t>
  </si>
  <si>
    <t xml:space="preserve">Driver screw minus plus no.2(131) DC-09004-01-C3 </t>
  </si>
  <si>
    <t>WRENCH HEXAGON M4 WH-09001-C3</t>
  </si>
  <si>
    <t>Driver screw plus no.2 DC-09001-C3</t>
  </si>
  <si>
    <t>DRIVER SCREW PLUS NO.3 DC-09002-C3</t>
  </si>
  <si>
    <t>Driver screw plus no.2 (L125) DC-09003-C3</t>
  </si>
  <si>
    <t>WRENCH HEXAGON M5 WH-09002-C3</t>
  </si>
  <si>
    <t>HANDLE BOX 52B-F8158-00</t>
  </si>
  <si>
    <t xml:space="preserve">DRIVER SCREW PLUS NO.3 (L80) DC-10003-C3  </t>
  </si>
  <si>
    <t>WRENCH HEXAGON M4   WH-10001-C3</t>
  </si>
  <si>
    <t>DRIVER SCREW PLUS NO.2 DC-14001-C3</t>
  </si>
  <si>
    <t>WRENCH HEXAGON M4 WH-14001-C3</t>
  </si>
  <si>
    <t>DRIVER SCREW MINUS PLUS NO.2 125+ DC-17005</t>
  </si>
  <si>
    <t>DRIVER NO 2 PLUS DC-18001</t>
  </si>
  <si>
    <t>RMT</t>
  </si>
  <si>
    <t xml:space="preserve">Gear bevel body  R2556/For Forging    </t>
  </si>
  <si>
    <t xml:space="preserve">Gear bevel body  R2559/For Forging    </t>
  </si>
  <si>
    <t xml:space="preserve">Gear bevel body  R2555/For Forging    </t>
  </si>
  <si>
    <t xml:space="preserve">Gear bevel bodyR2554 /For Forging    </t>
  </si>
  <si>
    <t xml:space="preserve">Diff Side Gear Body R2577 /For Forging  </t>
  </si>
  <si>
    <t xml:space="preserve">Diff Side Gear Body R2578 /For Forging </t>
  </si>
  <si>
    <t xml:space="preserve">Gear bevel body  R2567/For Forging    </t>
  </si>
  <si>
    <t xml:space="preserve">Gear bevel body R2558   </t>
  </si>
  <si>
    <t>GEAR 2586</t>
  </si>
  <si>
    <t>GEAR 2587</t>
  </si>
  <si>
    <t>Driver coupling ASM 8979467941</t>
  </si>
  <si>
    <t>BRACKET: CONVER TER,B 8981966971</t>
  </si>
  <si>
    <t>SCK</t>
  </si>
  <si>
    <t>Lever Pivot( K3881-4227-1)</t>
  </si>
  <si>
    <t>SIAM</t>
  </si>
  <si>
    <t>SHAFT CRANK AKS221B406</t>
  </si>
  <si>
    <t>SYM</t>
  </si>
  <si>
    <t>WRENCH,OIL FILTER W9500-64721</t>
  </si>
  <si>
    <t>WRENCH COMBINATION 10 W9597-59911</t>
  </si>
  <si>
    <t>WRENCH COMBINATION 12 W9597-59921</t>
  </si>
  <si>
    <t>WRENCHCOMBINATION 14 W9500-62801</t>
  </si>
  <si>
    <t>WRENCH COMBINATOIN 17 W9500-62811</t>
  </si>
  <si>
    <t>WRENCHCOMBINATION 19 W9500-62821</t>
  </si>
  <si>
    <t>WRENCH COMBINATOIN 22 W9500-62831</t>
  </si>
  <si>
    <t>WRENCHCOMBINATION 24 W9500-62841</t>
  </si>
  <si>
    <t>WRENCH COMBINATOIN 27 W9500-62761</t>
  </si>
  <si>
    <t>WRENCH COMBINATOIN 29 W9500-62771</t>
  </si>
  <si>
    <t>WHELL WRENCH 24 (BOX) W9500-31711</t>
  </si>
  <si>
    <t>DRIVER SCREW 5" (-) W9500-62781</t>
  </si>
  <si>
    <t>DRIVER SCREW 4" (+) W9500-62791</t>
  </si>
  <si>
    <t>PLIER 6" W9500-62731</t>
  </si>
  <si>
    <t>W9500-40741   HYDRAULIC JACK 3 TON</t>
  </si>
  <si>
    <t>HEXAGON M8 07014-00008</t>
  </si>
  <si>
    <t>SOCKET 22 (LONG) W9505-53051</t>
  </si>
  <si>
    <t>WRENCH SLIDING SOCKET W9505-53031</t>
  </si>
  <si>
    <t>WRENCH T-SHAP 12 W9500-53041</t>
  </si>
  <si>
    <t>PULLER W9530-21741</t>
  </si>
  <si>
    <t>HAMMER 1lb W9500-64731</t>
  </si>
  <si>
    <t>บล็อคถอดล้อ17-35 W9500-64711</t>
  </si>
  <si>
    <t>WRENCH,MONKEY 07017-20300</t>
  </si>
  <si>
    <t>หกเหลี่ยมเอ็ม 6 W9530-21771</t>
  </si>
  <si>
    <t>SYM001</t>
  </si>
  <si>
    <t>B2140</t>
  </si>
  <si>
    <t>SYM002</t>
  </si>
  <si>
    <t>L</t>
  </si>
  <si>
    <t>SYM003</t>
  </si>
  <si>
    <t>M6040</t>
  </si>
  <si>
    <t>SYM004</t>
  </si>
  <si>
    <t>M7040</t>
  </si>
  <si>
    <t>SYM005</t>
  </si>
  <si>
    <t>M8540</t>
  </si>
  <si>
    <t>SYM006</t>
  </si>
  <si>
    <t>M9808</t>
  </si>
  <si>
    <t>SYM007</t>
  </si>
  <si>
    <t>M108</t>
  </si>
  <si>
    <t>SYM008</t>
  </si>
  <si>
    <t>หกเหลี่ยม M6 W9530-21771</t>
  </si>
  <si>
    <t>SYM009</t>
  </si>
  <si>
    <t>รถขุด</t>
  </si>
  <si>
    <t>SYM010</t>
  </si>
  <si>
    <t>LA1353</t>
  </si>
  <si>
    <t>SYM011</t>
  </si>
  <si>
    <t>M135</t>
  </si>
  <si>
    <t>FLANGE  J123-12600  Model  i-783</t>
  </si>
  <si>
    <t xml:space="preserve">Gear B/S Drive(MD199041-RM-D) 3E00 </t>
  </si>
  <si>
    <t>Gear Head 897969-6160-RM</t>
  </si>
  <si>
    <t>GEAR IDLER 1132A102-RM</t>
  </si>
  <si>
    <t>PULLEY 4M41BK M/C(S/M) P2.1485.00036</t>
  </si>
  <si>
    <t>PULLEY 2500 M/C(SM) P2.1485.00024</t>
  </si>
  <si>
    <t>HUB 4M41BK M/C(SM)(P2.1485.00014)</t>
  </si>
  <si>
    <t>ROD ASSY-TORQ WITH BUSH 8982190030 (L=510)</t>
  </si>
  <si>
    <t>ROD ASSY-TORQ WITH BUSH 8982190050 (L=520)</t>
  </si>
  <si>
    <t>ROD ASSY-TORQ WITH BUSH 8982190060 (L=525)</t>
  </si>
  <si>
    <t>ROD ASSY-TORQ WITH BUSH 8982190070</t>
  </si>
  <si>
    <t>ROD ASSY-TORQ WITH BUSH 8982190100 (L=550)</t>
  </si>
  <si>
    <t>ROD ASSY-TORQ WITH BUSH 8982190040 (L=515)</t>
  </si>
  <si>
    <t>ROD ASSY-TORQ WITH BUSH 89821901120 (L=580)</t>
  </si>
  <si>
    <t>TUBE ROD 82-GB771A00</t>
  </si>
  <si>
    <t>ROD ASM-TORQUE W/BUSH T-ROD(L=580)773-59000 B00</t>
  </si>
  <si>
    <t>ROD ASM:TORQUE RR SUSP 8983209000</t>
  </si>
  <si>
    <t xml:space="preserve">ROD ASM TORQUE RR SUSP 8983209010  </t>
  </si>
  <si>
    <t xml:space="preserve">ROD ASM TORQUE RR SUSP 8983362400 </t>
  </si>
  <si>
    <t xml:space="preserve">ROD ASM:TORQUE RR SUSP 8983639990  </t>
  </si>
  <si>
    <t>*</t>
  </si>
  <si>
    <t>TKK</t>
  </si>
  <si>
    <t xml:space="preserve">DRIVER SCREW PLUS (140)+ </t>
  </si>
  <si>
    <t>DRIVER SCREW PLUS (140)-</t>
  </si>
  <si>
    <t>TSA</t>
  </si>
  <si>
    <t>COLLAR PIN  END GATE 98057114 CR3. 2IMT089</t>
  </si>
  <si>
    <t>TSLA</t>
  </si>
  <si>
    <t>BUSHING-E GATE HE PIN</t>
  </si>
  <si>
    <t>vcs</t>
  </si>
  <si>
    <t xml:space="preserve">WRENCH HEXAGON M4 TLS70-00001  </t>
  </si>
  <si>
    <t>WRENCH HEXAGON M5 TLS71-00002</t>
  </si>
  <si>
    <t>WHEEL WRENCH  TLS50-05564-Z-H</t>
  </si>
  <si>
    <t>WRENCH HUB NUT TLS50-03422-Z-H</t>
  </si>
  <si>
    <t xml:space="preserve">แกนไขควง 125+CR3. TLS42-05527-CR S  </t>
  </si>
  <si>
    <t xml:space="preserve">แกนไขควง130+- CR3. TLS42-05529-CR S  </t>
  </si>
  <si>
    <t>TAT</t>
  </si>
  <si>
    <t>05-2024-6602 2 0-140</t>
  </si>
  <si>
    <t>VSLT</t>
  </si>
  <si>
    <t>ARM BODY KB90150-02</t>
  </si>
  <si>
    <t>HOLDER COMP MIROR HF-24001</t>
  </si>
  <si>
    <t>U BOLT ; LEAF SPRING FVM 5-JX516-288-0</t>
  </si>
  <si>
    <t>LHK</t>
  </si>
  <si>
    <t>PINSPRING Size 30x158 (CM122)</t>
  </si>
  <si>
    <t>PINSPRING Size 25x127 (CM123)</t>
  </si>
  <si>
    <t>PINSPRING Size 32x136 (CM124)</t>
  </si>
  <si>
    <t>PINSPRING Size 28x127 (CM125)</t>
  </si>
  <si>
    <t>PINSPRING Size 28x132 (CM126)</t>
  </si>
  <si>
    <t>PINSPRING Size 25x108 (CM127)</t>
  </si>
  <si>
    <t>PINSPRING Size 30x147 (CM129)</t>
  </si>
  <si>
    <t>PINSPRING Size 30x147 (CM130)</t>
  </si>
  <si>
    <t>PINSPRING Size 30x123 (CM131)</t>
  </si>
  <si>
    <t>PINSPRING Size 25x115 (CM132)</t>
  </si>
  <si>
    <t>6148-F</t>
  </si>
  <si>
    <t>BOSS R HNDL 53101-MKN-D100-H1 - F</t>
  </si>
  <si>
    <t>6149-F</t>
  </si>
  <si>
    <t>BOSS L HNDL 53151-MKN-D100-H1 - F</t>
  </si>
  <si>
    <t>01</t>
  </si>
  <si>
    <t>Template Employee</t>
  </si>
  <si>
    <t>no</t>
  </si>
  <si>
    <t>employee_code</t>
  </si>
  <si>
    <t>employee_title_lv</t>
  </si>
  <si>
    <t>employee_name</t>
  </si>
  <si>
    <t>employee_last_name</t>
  </si>
  <si>
    <t>department_code</t>
  </si>
  <si>
    <t>department_name</t>
  </si>
  <si>
    <t>division_code</t>
  </si>
  <si>
    <t>division_name</t>
  </si>
  <si>
    <t>section_code</t>
  </si>
  <si>
    <t>section_name</t>
  </si>
  <si>
    <t>position_code</t>
  </si>
  <si>
    <t>position_name</t>
  </si>
  <si>
    <t>ลำดับ</t>
  </si>
  <si>
    <t>รหัสพนักงาน</t>
  </si>
  <si>
    <t>คำนำหน้า</t>
  </si>
  <si>
    <t>ชื่อจริง</t>
  </si>
  <si>
    <t>นามสกุล</t>
  </si>
  <si>
    <t>รหัสแผนก</t>
  </si>
  <si>
    <t>ชื่อแผนก</t>
  </si>
  <si>
    <t>รหัสฝ่ายงาน</t>
  </si>
  <si>
    <t>ชื่อฝ่ายงาน</t>
  </si>
  <si>
    <t>รหัสหน่วยงาน</t>
  </si>
  <si>
    <t>ชื่อหน่วยงาน</t>
  </si>
  <si>
    <t>รหัสตำแหน่ง</t>
  </si>
  <si>
    <t>ชื่อตำแหน่ง</t>
  </si>
  <si>
    <t>1</t>
  </si>
  <si>
    <t>1-54006</t>
  </si>
  <si>
    <t>01-นาย</t>
  </si>
  <si>
    <t>อรรณพ</t>
  </si>
  <si>
    <t>บุญญกิจไมตรี</t>
  </si>
  <si>
    <t>10-000</t>
  </si>
  <si>
    <t>ขายและการตลาด</t>
  </si>
  <si>
    <t>10</t>
  </si>
  <si>
    <t>JG10 ผู้ช่วยกรรมการผู้จัดการ</t>
  </si>
  <si>
    <t>2</t>
  </si>
  <si>
    <t>1-51001</t>
  </si>
  <si>
    <t>03-นางสาว</t>
  </si>
  <si>
    <t>สุธีวรรณ</t>
  </si>
  <si>
    <t>ยศธสาร</t>
  </si>
  <si>
    <t>11-000</t>
  </si>
  <si>
    <t>ขาย</t>
  </si>
  <si>
    <t>11-100</t>
  </si>
  <si>
    <t>บริการลูกค้า</t>
  </si>
  <si>
    <t>08</t>
  </si>
  <si>
    <t>JG08 ผู้จัดการ</t>
  </si>
  <si>
    <t>3</t>
  </si>
  <si>
    <t>1-68161</t>
  </si>
  <si>
    <t>นงลักษณ์</t>
  </si>
  <si>
    <t>อินทสังข์</t>
  </si>
  <si>
    <t>02</t>
  </si>
  <si>
    <t>JG02 พนักงานทั่วไป</t>
  </si>
  <si>
    <t>4</t>
  </si>
  <si>
    <t>1-58003</t>
  </si>
  <si>
    <t>ธิดารัตน์</t>
  </si>
  <si>
    <t>ศิรา</t>
  </si>
  <si>
    <t>21-000</t>
  </si>
  <si>
    <t>ซัพพลายเซน</t>
  </si>
  <si>
    <t>21-200</t>
  </si>
  <si>
    <t>จัดซื้อ</t>
  </si>
  <si>
    <t>5</t>
  </si>
  <si>
    <t>1-66011</t>
  </si>
  <si>
    <t>พชิรา</t>
  </si>
  <si>
    <t>เหลืองหลีกภัย</t>
  </si>
  <si>
    <t>6</t>
  </si>
  <si>
    <t>1-68159</t>
  </si>
  <si>
    <t>นิพิฐพนธ์</t>
  </si>
  <si>
    <t>พันธ์ฟัก</t>
  </si>
  <si>
    <t>7</t>
  </si>
  <si>
    <t>1-63013</t>
  </si>
  <si>
    <t>อณัญญา</t>
  </si>
  <si>
    <t>กระจาย</t>
  </si>
  <si>
    <t>21-300</t>
  </si>
  <si>
    <t>คลังสินค้าและจัดส่ง</t>
  </si>
  <si>
    <t>04</t>
  </si>
  <si>
    <t>JG04 ผู้ช่วยหัวหน้างาน</t>
  </si>
  <si>
    <t>8</t>
  </si>
  <si>
    <t>1-64021</t>
  </si>
  <si>
    <t>เบญจวรรณ</t>
  </si>
  <si>
    <t>เศียรนอก</t>
  </si>
  <si>
    <t>9</t>
  </si>
  <si>
    <t>1-69039</t>
  </si>
  <si>
    <t>ณัฐวัตร</t>
  </si>
  <si>
    <t>ทับอินทร์</t>
  </si>
  <si>
    <t>1-55012</t>
  </si>
  <si>
    <t>สินชัย</t>
  </si>
  <si>
    <t>พันธ์เลิศ</t>
  </si>
  <si>
    <t>21-301</t>
  </si>
  <si>
    <t>ขนส่ง</t>
  </si>
  <si>
    <t>JG01 พนักงานปฏิบัติการ</t>
  </si>
  <si>
    <t>11</t>
  </si>
  <si>
    <t>1-65023</t>
  </si>
  <si>
    <t>พีระพงษ์</t>
  </si>
  <si>
    <t>สระน้อย</t>
  </si>
  <si>
    <t>12</t>
  </si>
  <si>
    <t>1-68001</t>
  </si>
  <si>
    <t>ภานุวัฒน์</t>
  </si>
  <si>
    <t>ศรีพุทธา</t>
  </si>
  <si>
    <t>13</t>
  </si>
  <si>
    <t>1-68054</t>
  </si>
  <si>
    <t>นฤกร</t>
  </si>
  <si>
    <t>สุตะตาน</t>
  </si>
  <si>
    <t>14</t>
  </si>
  <si>
    <t>1-68147</t>
  </si>
  <si>
    <t>นฤดล</t>
  </si>
  <si>
    <t>สมใจ</t>
  </si>
  <si>
    <t>15</t>
  </si>
  <si>
    <t>1-37002</t>
  </si>
  <si>
    <t>อดุลศักดิ์</t>
  </si>
  <si>
    <t>ขันสิงห์</t>
  </si>
  <si>
    <t>21-302</t>
  </si>
  <si>
    <t>คลังสินค้า</t>
  </si>
  <si>
    <t>16</t>
  </si>
  <si>
    <t>1-47002</t>
  </si>
  <si>
    <t>วสันต์</t>
  </si>
  <si>
    <t>ทองเลี่ยน</t>
  </si>
  <si>
    <t>17</t>
  </si>
  <si>
    <t>1-50003</t>
  </si>
  <si>
    <t>นันทา</t>
  </si>
  <si>
    <t>อินทร์บุตรดี</t>
  </si>
  <si>
    <t>18</t>
  </si>
  <si>
    <t>1-62003</t>
  </si>
  <si>
    <t>ศรีประภา</t>
  </si>
  <si>
    <t>นิสสัยตรง</t>
  </si>
  <si>
    <t>19</t>
  </si>
  <si>
    <t>1-62004</t>
  </si>
  <si>
    <t>ใอ่</t>
  </si>
  <si>
    <t>บุญทอง</t>
  </si>
  <si>
    <t>20</t>
  </si>
  <si>
    <t>1-68176</t>
  </si>
  <si>
    <t>สตางค์</t>
  </si>
  <si>
    <t>หร่ายมณี</t>
  </si>
  <si>
    <t>21</t>
  </si>
  <si>
    <t>1-69005</t>
  </si>
  <si>
    <t>เมธินี</t>
  </si>
  <si>
    <t>ขันชา</t>
  </si>
  <si>
    <t>22</t>
  </si>
  <si>
    <t>1-69006</t>
  </si>
  <si>
    <t>ธนพงษ์</t>
  </si>
  <si>
    <t>จันทร์ศรี</t>
  </si>
  <si>
    <t>23</t>
  </si>
  <si>
    <t>1-69048</t>
  </si>
  <si>
    <t>กัญญาภัค</t>
  </si>
  <si>
    <t>พุ่มจันทร์</t>
  </si>
  <si>
    <t>24</t>
  </si>
  <si>
    <t>2-55005</t>
  </si>
  <si>
    <t>SAW AUNG TIN WIN</t>
  </si>
  <si>
    <t>25</t>
  </si>
  <si>
    <t>2-63017</t>
  </si>
  <si>
    <t>AUNG SI HEIN</t>
  </si>
  <si>
    <t>26</t>
  </si>
  <si>
    <t>1-33002</t>
  </si>
  <si>
    <t>สมัย</t>
  </si>
  <si>
    <t>บุญคำ</t>
  </si>
  <si>
    <t>22-000</t>
  </si>
  <si>
    <t>ผลิต</t>
  </si>
  <si>
    <t>22-100</t>
  </si>
  <si>
    <t>Tool &amp; Dle</t>
  </si>
  <si>
    <t>05</t>
  </si>
  <si>
    <t>JG05 หัวหน้างาน</t>
  </si>
  <si>
    <t>27</t>
  </si>
  <si>
    <t>1-48003</t>
  </si>
  <si>
    <t>สายันต์</t>
  </si>
  <si>
    <t>เภรี</t>
  </si>
  <si>
    <t>28</t>
  </si>
  <si>
    <t>1-56011</t>
  </si>
  <si>
    <t>สุทัศน์</t>
  </si>
  <si>
    <t>ละอองนวล</t>
  </si>
  <si>
    <t>29</t>
  </si>
  <si>
    <t>2-54004</t>
  </si>
  <si>
    <t>MOE OO</t>
  </si>
  <si>
    <t>30</t>
  </si>
  <si>
    <t>2-55016</t>
  </si>
  <si>
    <t>SAW BA OO</t>
  </si>
  <si>
    <t>31</t>
  </si>
  <si>
    <t>2-67019</t>
  </si>
  <si>
    <t>PHYO MIN AUNG</t>
  </si>
  <si>
    <t>32</t>
  </si>
  <si>
    <t>1-26001</t>
  </si>
  <si>
    <t>บุญยัง</t>
  </si>
  <si>
    <t>สาระภีย์</t>
  </si>
  <si>
    <t>22-200</t>
  </si>
  <si>
    <t>Forge</t>
  </si>
  <si>
    <t>33</t>
  </si>
  <si>
    <t>1-42001</t>
  </si>
  <si>
    <t>ศรีสุวรรณ์</t>
  </si>
  <si>
    <t>ข้าวหอม</t>
  </si>
  <si>
    <t>34</t>
  </si>
  <si>
    <t>1-53001</t>
  </si>
  <si>
    <t>นริดา</t>
  </si>
  <si>
    <t>วงกิ่ง</t>
  </si>
  <si>
    <t>35</t>
  </si>
  <si>
    <t>1-63012</t>
  </si>
  <si>
    <t>เฉลิมชัย</t>
  </si>
  <si>
    <t>แดงทรงเจริญ</t>
  </si>
  <si>
    <t>36</t>
  </si>
  <si>
    <t>1-64002</t>
  </si>
  <si>
    <t>สมจิต</t>
  </si>
  <si>
    <t>ดามุก</t>
  </si>
  <si>
    <t>37</t>
  </si>
  <si>
    <t>1-68015</t>
  </si>
  <si>
    <t>02-นาง</t>
  </si>
  <si>
    <t>โต</t>
  </si>
  <si>
    <t>บุญทูล</t>
  </si>
  <si>
    <t>38</t>
  </si>
  <si>
    <t>1-68022</t>
  </si>
  <si>
    <t>อุไรวรรณ</t>
  </si>
  <si>
    <t>เย็นไธสง</t>
  </si>
  <si>
    <t>39</t>
  </si>
  <si>
    <t>1-68041</t>
  </si>
  <si>
    <t>ใจทิพย์</t>
  </si>
  <si>
    <t>ทองพูล</t>
  </si>
  <si>
    <t>40</t>
  </si>
  <si>
    <t>1-68043</t>
  </si>
  <si>
    <t>อดุลย์ศักดิ์</t>
  </si>
  <si>
    <t>เวียงสงค์</t>
  </si>
  <si>
    <t>41</t>
  </si>
  <si>
    <t>2-55001</t>
  </si>
  <si>
    <t>AUNG KYAW MYINT</t>
  </si>
  <si>
    <t>(A) TAE HWAY AONG</t>
  </si>
  <si>
    <t>42</t>
  </si>
  <si>
    <t>2-55006</t>
  </si>
  <si>
    <t>THI HA</t>
  </si>
  <si>
    <t>43</t>
  </si>
  <si>
    <t>2-56006</t>
  </si>
  <si>
    <t>ZIN NAING SWE</t>
  </si>
  <si>
    <t>44</t>
  </si>
  <si>
    <t>2-58001</t>
  </si>
  <si>
    <t>THEIN SHWE OO</t>
  </si>
  <si>
    <t>45</t>
  </si>
  <si>
    <t>2-58004</t>
  </si>
  <si>
    <t>MOE ZAW</t>
  </si>
  <si>
    <t>46</t>
  </si>
  <si>
    <t>2-60002</t>
  </si>
  <si>
    <t>KO MIN</t>
  </si>
  <si>
    <t>47</t>
  </si>
  <si>
    <t>2-61001</t>
  </si>
  <si>
    <t>SAW KHIN ZAW MIN</t>
  </si>
  <si>
    <t>48</t>
  </si>
  <si>
    <t>2-61002</t>
  </si>
  <si>
    <t>YAN NAING AUNG</t>
  </si>
  <si>
    <t>(ยานเนียงอ่อง)</t>
  </si>
  <si>
    <t>49</t>
  </si>
  <si>
    <t>2-63001</t>
  </si>
  <si>
    <t>THEIN LWIN SOE</t>
  </si>
  <si>
    <t>(เตง วิน โซ)</t>
  </si>
  <si>
    <t>50</t>
  </si>
  <si>
    <t>2-63002</t>
  </si>
  <si>
    <t>AUNG MYO LIN</t>
  </si>
  <si>
    <t>51</t>
  </si>
  <si>
    <t>2-63003</t>
  </si>
  <si>
    <t>ZIN BO LATT</t>
  </si>
  <si>
    <t>52</t>
  </si>
  <si>
    <t>2-63014</t>
  </si>
  <si>
    <t>MAUNG HTWE</t>
  </si>
  <si>
    <t>53</t>
  </si>
  <si>
    <t>2-64004</t>
  </si>
  <si>
    <t>TIN TIN NYO</t>
  </si>
  <si>
    <t>54</t>
  </si>
  <si>
    <t>2-64005</t>
  </si>
  <si>
    <t>SAN LIN</t>
  </si>
  <si>
    <t>55</t>
  </si>
  <si>
    <t>2-64006</t>
  </si>
  <si>
    <t>LAE LAE WIN</t>
  </si>
  <si>
    <t>56</t>
  </si>
  <si>
    <t>2-64010</t>
  </si>
  <si>
    <t>WAI HLINE</t>
  </si>
  <si>
    <t>57</t>
  </si>
  <si>
    <t>2-65007</t>
  </si>
  <si>
    <t>TUN MIN</t>
  </si>
  <si>
    <t>58</t>
  </si>
  <si>
    <t>2-65008</t>
  </si>
  <si>
    <t>NYINE CHAN AUNG</t>
  </si>
  <si>
    <t>59</t>
  </si>
  <si>
    <t>2-65010</t>
  </si>
  <si>
    <t>SAW TIN WIN</t>
  </si>
  <si>
    <t>60</t>
  </si>
  <si>
    <t>2-65011</t>
  </si>
  <si>
    <t>AUNG MIN</t>
  </si>
  <si>
    <t>61</t>
  </si>
  <si>
    <t>2-65012</t>
  </si>
  <si>
    <t>MG HTOO NAING</t>
  </si>
  <si>
    <t>(หม่อง ตู นาย)</t>
  </si>
  <si>
    <t>62</t>
  </si>
  <si>
    <t>2-65024</t>
  </si>
  <si>
    <t>MAUNG MYO HEIN</t>
  </si>
  <si>
    <t>63</t>
  </si>
  <si>
    <t>2-65034</t>
  </si>
  <si>
    <t>NAN DEE NAUNG</t>
  </si>
  <si>
    <t>64</t>
  </si>
  <si>
    <t>2-66009</t>
  </si>
  <si>
    <t>EI PHGOE ZIN</t>
  </si>
  <si>
    <t>65</t>
  </si>
  <si>
    <t>2-67011</t>
  </si>
  <si>
    <t>KYAW LWIN</t>
  </si>
  <si>
    <t>66</t>
  </si>
  <si>
    <t>2-67016</t>
  </si>
  <si>
    <t>AUNG KO LAT</t>
  </si>
  <si>
    <t>67</t>
  </si>
  <si>
    <t>2-68028</t>
  </si>
  <si>
    <t>NAING OO</t>
  </si>
  <si>
    <t>68</t>
  </si>
  <si>
    <t>2-68110</t>
  </si>
  <si>
    <t>ZARCHI OO</t>
  </si>
  <si>
    <t>69</t>
  </si>
  <si>
    <t>2-68112</t>
  </si>
  <si>
    <t>NAW HTAY HTAY MYINT</t>
  </si>
  <si>
    <t>70</t>
  </si>
  <si>
    <t>2-68140</t>
  </si>
  <si>
    <t>MIN HEIN</t>
  </si>
  <si>
    <t>71</t>
  </si>
  <si>
    <t>2-68163</t>
  </si>
  <si>
    <t>SAW TAR NAR KUE</t>
  </si>
  <si>
    <t>72</t>
  </si>
  <si>
    <t>2-69001</t>
  </si>
  <si>
    <t>TUN NAING WIN</t>
  </si>
  <si>
    <t>73</t>
  </si>
  <si>
    <t>2-69002</t>
  </si>
  <si>
    <t>SAW WAR SO OO</t>
  </si>
  <si>
    <t>74</t>
  </si>
  <si>
    <t>2-69015</t>
  </si>
  <si>
    <t>KYAW MYO ZAW</t>
  </si>
  <si>
    <t>75</t>
  </si>
  <si>
    <t>2-69040</t>
  </si>
  <si>
    <t>HLA KO</t>
  </si>
  <si>
    <t>76</t>
  </si>
  <si>
    <t>2-69041</t>
  </si>
  <si>
    <t>SAW LWIN OO</t>
  </si>
  <si>
    <t>77</t>
  </si>
  <si>
    <t>1-42002</t>
  </si>
  <si>
    <t>สงัด</t>
  </si>
  <si>
    <t>แก้วผนึก</t>
  </si>
  <si>
    <t>22-300</t>
  </si>
  <si>
    <t>Press</t>
  </si>
  <si>
    <t>78</t>
  </si>
  <si>
    <t>1-43001</t>
  </si>
  <si>
    <t>สาคร</t>
  </si>
  <si>
    <t>79</t>
  </si>
  <si>
    <t>1-45001</t>
  </si>
  <si>
    <t>สมหวัง</t>
  </si>
  <si>
    <t>ปิ่นสกุล</t>
  </si>
  <si>
    <t>80</t>
  </si>
  <si>
    <t>1-50005</t>
  </si>
  <si>
    <t>นฤมล</t>
  </si>
  <si>
    <t>บัวศรี</t>
  </si>
  <si>
    <t>81</t>
  </si>
  <si>
    <t>1-54007</t>
  </si>
  <si>
    <t>วิชัย</t>
  </si>
  <si>
    <t>กล้าแข็ง</t>
  </si>
  <si>
    <t>82</t>
  </si>
  <si>
    <t>1-54010</t>
  </si>
  <si>
    <t>โรจนพร</t>
  </si>
  <si>
    <t>ต่ายจันทร์</t>
  </si>
  <si>
    <t>09</t>
  </si>
  <si>
    <t>JG09 ผู้จัดการอาวุโส</t>
  </si>
  <si>
    <t>83</t>
  </si>
  <si>
    <t>1-56001</t>
  </si>
  <si>
    <t>วรรณา</t>
  </si>
  <si>
    <t>ชูสอน</t>
  </si>
  <si>
    <t>84</t>
  </si>
  <si>
    <t>1-68094</t>
  </si>
  <si>
    <t>ทิพย์สุดา</t>
  </si>
  <si>
    <t>ภู่ศรี</t>
  </si>
  <si>
    <t>85</t>
  </si>
  <si>
    <t>2-54002</t>
  </si>
  <si>
    <t>MYA MYA MAW</t>
  </si>
  <si>
    <t>86</t>
  </si>
  <si>
    <t>2-54005</t>
  </si>
  <si>
    <t>SAI SAI</t>
  </si>
  <si>
    <t>(A) CHAY KHAM TAIY</t>
  </si>
  <si>
    <t>87</t>
  </si>
  <si>
    <t>2-55002</t>
  </si>
  <si>
    <t>NAN TIN HLAING</t>
  </si>
  <si>
    <t>88</t>
  </si>
  <si>
    <t>2-55004</t>
  </si>
  <si>
    <t>MA SAW(มะซอ)</t>
  </si>
  <si>
    <t>89</t>
  </si>
  <si>
    <t>2-55009</t>
  </si>
  <si>
    <t>SAW TUN THEIN</t>
  </si>
  <si>
    <t>90</t>
  </si>
  <si>
    <t>2-55014</t>
  </si>
  <si>
    <t>NAING LIN(นาย6)</t>
  </si>
  <si>
    <t>91</t>
  </si>
  <si>
    <t>2-56008</t>
  </si>
  <si>
    <t>TIN TIN KHAING</t>
  </si>
  <si>
    <t>(ตินตินข่าย)</t>
  </si>
  <si>
    <t>92</t>
  </si>
  <si>
    <t>2-56010</t>
  </si>
  <si>
    <t>WIN ZAW OO</t>
  </si>
  <si>
    <t>93</t>
  </si>
  <si>
    <t>2-57002</t>
  </si>
  <si>
    <t>THAN WIN AUNG</t>
  </si>
  <si>
    <t>(ตานวินอ่อง)</t>
  </si>
  <si>
    <t>94</t>
  </si>
  <si>
    <t>2-58005</t>
  </si>
  <si>
    <t>AYE THIN KHAING</t>
  </si>
  <si>
    <t>95</t>
  </si>
  <si>
    <t>2-59002</t>
  </si>
  <si>
    <t>AUNG KYAW LIN</t>
  </si>
  <si>
    <t>96</t>
  </si>
  <si>
    <t>2-60001</t>
  </si>
  <si>
    <t>KYAW SOE MIN</t>
  </si>
  <si>
    <t>97</t>
  </si>
  <si>
    <t>2-61006</t>
  </si>
  <si>
    <t>ZAW LIN</t>
  </si>
  <si>
    <t>98</t>
  </si>
  <si>
    <t>2-64001</t>
  </si>
  <si>
    <t>KAY KHAING</t>
  </si>
  <si>
    <t>99</t>
  </si>
  <si>
    <t>2-64007</t>
  </si>
  <si>
    <t>AUNG HTIKE OO</t>
  </si>
  <si>
    <t>100</t>
  </si>
  <si>
    <t>2-64016</t>
  </si>
  <si>
    <t>MAY YI MYINT</t>
  </si>
  <si>
    <t>101</t>
  </si>
  <si>
    <t>2-65006</t>
  </si>
  <si>
    <t>OHN SHWE</t>
  </si>
  <si>
    <t>102</t>
  </si>
  <si>
    <t>2-65013</t>
  </si>
  <si>
    <t>AUNG HTOO</t>
  </si>
  <si>
    <t>103</t>
  </si>
  <si>
    <t>2-67006</t>
  </si>
  <si>
    <t>PHOE ZAW</t>
  </si>
  <si>
    <t>104</t>
  </si>
  <si>
    <t>2-68005</t>
  </si>
  <si>
    <t>A MI PHYO</t>
  </si>
  <si>
    <t>105</t>
  </si>
  <si>
    <t>2-68164</t>
  </si>
  <si>
    <t>SA ZIN MAUNG OO</t>
  </si>
  <si>
    <t>106</t>
  </si>
  <si>
    <t>2-68166</t>
  </si>
  <si>
    <t>SOE MYINT NWE</t>
  </si>
  <si>
    <t>107</t>
  </si>
  <si>
    <t>2-69017</t>
  </si>
  <si>
    <t>MI SAN</t>
  </si>
  <si>
    <t>108</t>
  </si>
  <si>
    <t>2-69043</t>
  </si>
  <si>
    <t>CHIT MIN KO</t>
  </si>
  <si>
    <t>109</t>
  </si>
  <si>
    <t>1-68085</t>
  </si>
  <si>
    <t>ปวีณา</t>
  </si>
  <si>
    <t>พาธิรัก</t>
  </si>
  <si>
    <t>22-400</t>
  </si>
  <si>
    <t>Machine 1</t>
  </si>
  <si>
    <t>110</t>
  </si>
  <si>
    <t>1-69031</t>
  </si>
  <si>
    <t>สายฝน</t>
  </si>
  <si>
    <t>สิงห์โต</t>
  </si>
  <si>
    <t>22-401</t>
  </si>
  <si>
    <t>PD2-1</t>
  </si>
  <si>
    <t>111</t>
  </si>
  <si>
    <t>2-54009</t>
  </si>
  <si>
    <t>AYE MIN TUN</t>
  </si>
  <si>
    <t>112</t>
  </si>
  <si>
    <t>2-55003</t>
  </si>
  <si>
    <t>THEIN SHIN</t>
  </si>
  <si>
    <t>113</t>
  </si>
  <si>
    <t>2-55008</t>
  </si>
  <si>
    <t>ZARNI OO</t>
  </si>
  <si>
    <t>114</t>
  </si>
  <si>
    <t>2-56002</t>
  </si>
  <si>
    <t>TIN AUNG MYINT</t>
  </si>
  <si>
    <t>115</t>
  </si>
  <si>
    <t>2-56004</t>
  </si>
  <si>
    <t>WIN MAR</t>
  </si>
  <si>
    <t>(ขิ่นหว่าย)</t>
  </si>
  <si>
    <t>116</t>
  </si>
  <si>
    <t>2-61003</t>
  </si>
  <si>
    <t>LAE LAE THAN</t>
  </si>
  <si>
    <t>117</t>
  </si>
  <si>
    <t>2-61004</t>
  </si>
  <si>
    <t>KYAW MIN TUN</t>
  </si>
  <si>
    <t>118</t>
  </si>
  <si>
    <t>2-61007</t>
  </si>
  <si>
    <t>AUNG TIN WIN</t>
  </si>
  <si>
    <t>119</t>
  </si>
  <si>
    <t>2-63004</t>
  </si>
  <si>
    <t>CHAN MYINT THU</t>
  </si>
  <si>
    <t>(ชัน เมียด ตู)</t>
  </si>
  <si>
    <t>120</t>
  </si>
  <si>
    <t>2-63015</t>
  </si>
  <si>
    <t>THU ZAR NWE</t>
  </si>
  <si>
    <t>121</t>
  </si>
  <si>
    <t>2-64014</t>
  </si>
  <si>
    <t>THAN HTWE MYINT</t>
  </si>
  <si>
    <t>122</t>
  </si>
  <si>
    <t>2-65004</t>
  </si>
  <si>
    <t>SHWE ZIN WIN</t>
  </si>
  <si>
    <t>123</t>
  </si>
  <si>
    <t>2-65016</t>
  </si>
  <si>
    <t>WAI YAN NAING</t>
  </si>
  <si>
    <t>124</t>
  </si>
  <si>
    <t>2-66006</t>
  </si>
  <si>
    <t>PHOE CHIT</t>
  </si>
  <si>
    <t>125</t>
  </si>
  <si>
    <t>2-67007</t>
  </si>
  <si>
    <t>HAN WIN</t>
  </si>
  <si>
    <t>126</t>
  </si>
  <si>
    <t>2-67015</t>
  </si>
  <si>
    <t>ZAW WIN</t>
  </si>
  <si>
    <t>127</t>
  </si>
  <si>
    <t>2-68003</t>
  </si>
  <si>
    <t>THAN HTIKE OO</t>
  </si>
  <si>
    <t>128</t>
  </si>
  <si>
    <t>2-68024</t>
  </si>
  <si>
    <t>THAN ZIN PHYO NAING</t>
  </si>
  <si>
    <t>129</t>
  </si>
  <si>
    <t>2-68119</t>
  </si>
  <si>
    <t>NYI NYI WIN</t>
  </si>
  <si>
    <t>130</t>
  </si>
  <si>
    <t>2-68122</t>
  </si>
  <si>
    <t>ARKAR HEIN</t>
  </si>
  <si>
    <t>131</t>
  </si>
  <si>
    <t>2-68165</t>
  </si>
  <si>
    <t>NAY LIN AUNG</t>
  </si>
  <si>
    <t>132</t>
  </si>
  <si>
    <t>2-68168</t>
  </si>
  <si>
    <t>TU YA ZAW</t>
  </si>
  <si>
    <t>133</t>
  </si>
  <si>
    <t>2-68170</t>
  </si>
  <si>
    <t>SAN LWIN</t>
  </si>
  <si>
    <t>134</t>
  </si>
  <si>
    <t>2-68172</t>
  </si>
  <si>
    <t>ZAW LIN AUNG</t>
  </si>
  <si>
    <t>135</t>
  </si>
  <si>
    <t>2-68175</t>
  </si>
  <si>
    <t>MIN KHANT ZAW</t>
  </si>
  <si>
    <t>136</t>
  </si>
  <si>
    <t>2-69009</t>
  </si>
  <si>
    <t>MYAT NOE AUNG</t>
  </si>
  <si>
    <t>137</t>
  </si>
  <si>
    <t>2-69010</t>
  </si>
  <si>
    <t>YE LIN AUNG</t>
  </si>
  <si>
    <t>138</t>
  </si>
  <si>
    <t>2-69011</t>
  </si>
  <si>
    <t>KYAW ZAW LIN</t>
  </si>
  <si>
    <t>139</t>
  </si>
  <si>
    <t>2-69032</t>
  </si>
  <si>
    <t>KYI PHYU HLAING</t>
  </si>
  <si>
    <t>140</t>
  </si>
  <si>
    <t>2-69033</t>
  </si>
  <si>
    <t>KHANT ZIN HTET</t>
  </si>
  <si>
    <t>141</t>
  </si>
  <si>
    <t>2-69034</t>
  </si>
  <si>
    <t>HTET KO LIN</t>
  </si>
  <si>
    <t>142</t>
  </si>
  <si>
    <t>2-69036</t>
  </si>
  <si>
    <t>KYAW MYO WIN</t>
  </si>
  <si>
    <t>143</t>
  </si>
  <si>
    <t>2-69044</t>
  </si>
  <si>
    <t>KYAW SAWAR WIN</t>
  </si>
  <si>
    <t>144</t>
  </si>
  <si>
    <t>2-69045</t>
  </si>
  <si>
    <t>PYAE SONE</t>
  </si>
  <si>
    <t>145</t>
  </si>
  <si>
    <t>2-69046</t>
  </si>
  <si>
    <t>SA MYO MIN THET</t>
  </si>
  <si>
    <t>146</t>
  </si>
  <si>
    <t>2-54001</t>
  </si>
  <si>
    <t>NYI TIN WIN</t>
  </si>
  <si>
    <t>22-402</t>
  </si>
  <si>
    <t>147</t>
  </si>
  <si>
    <t>2-54003</t>
  </si>
  <si>
    <t>SOE MIN HTIKE</t>
  </si>
  <si>
    <t>148</t>
  </si>
  <si>
    <t>2-55007</t>
  </si>
  <si>
    <t>SHWE SHWE LIN</t>
  </si>
  <si>
    <t>149</t>
  </si>
  <si>
    <t>2-56007</t>
  </si>
  <si>
    <t>AUNG KO WIN</t>
  </si>
  <si>
    <t>150</t>
  </si>
  <si>
    <t>2-64015</t>
  </si>
  <si>
    <t>SAW PAN AYE</t>
  </si>
  <si>
    <t>151</t>
  </si>
  <si>
    <t>2-64018</t>
  </si>
  <si>
    <t>WIN HTAY</t>
  </si>
  <si>
    <t>152</t>
  </si>
  <si>
    <t>2-65033</t>
  </si>
  <si>
    <t>SAI TUN TIN</t>
  </si>
  <si>
    <t>153</t>
  </si>
  <si>
    <t>2-65036</t>
  </si>
  <si>
    <t>SHINE LIN THU</t>
  </si>
  <si>
    <t>154</t>
  </si>
  <si>
    <t>2-66004</t>
  </si>
  <si>
    <t>MIN SOE</t>
  </si>
  <si>
    <t>155</t>
  </si>
  <si>
    <t>2-67017</t>
  </si>
  <si>
    <t>HEIN MIN HTET (1 )</t>
  </si>
  <si>
    <t>156</t>
  </si>
  <si>
    <t>2-67020</t>
  </si>
  <si>
    <t>SAI MYAT THU</t>
  </si>
  <si>
    <t>157</t>
  </si>
  <si>
    <t>2-68131</t>
  </si>
  <si>
    <t>WAI YAN LIN</t>
  </si>
  <si>
    <t>158</t>
  </si>
  <si>
    <t>2-68132</t>
  </si>
  <si>
    <t>ZAW LAT</t>
  </si>
  <si>
    <t>159</t>
  </si>
  <si>
    <t>2-68171</t>
  </si>
  <si>
    <t>HTIN KYAW LIN</t>
  </si>
  <si>
    <t>160</t>
  </si>
  <si>
    <t>2-69023</t>
  </si>
  <si>
    <t>THET KHAING</t>
  </si>
  <si>
    <t>161</t>
  </si>
  <si>
    <t>2-69035</t>
  </si>
  <si>
    <t>MG MYAT NOE</t>
  </si>
  <si>
    <t>162</t>
  </si>
  <si>
    <t>2-69037</t>
  </si>
  <si>
    <t>HAN LIN OO</t>
  </si>
  <si>
    <t>163</t>
  </si>
  <si>
    <t>2-69038</t>
  </si>
  <si>
    <t>TUN LIN AUNG</t>
  </si>
  <si>
    <t>164</t>
  </si>
  <si>
    <t>268121</t>
  </si>
  <si>
    <t>CHO LIN</t>
  </si>
  <si>
    <t>165</t>
  </si>
  <si>
    <t>1-50001</t>
  </si>
  <si>
    <t>สุพรรณี</t>
  </si>
  <si>
    <t>ผลอินทร์</t>
  </si>
  <si>
    <t>22-500</t>
  </si>
  <si>
    <t>Machine 2</t>
  </si>
  <si>
    <t>166</t>
  </si>
  <si>
    <t>2-55017</t>
  </si>
  <si>
    <t>22-501</t>
  </si>
  <si>
    <t>167</t>
  </si>
  <si>
    <t>2-57003</t>
  </si>
  <si>
    <t>MIN ZAW OO</t>
  </si>
  <si>
    <t>168</t>
  </si>
  <si>
    <t>2-63018</t>
  </si>
  <si>
    <t>KYAW NAING HTOO</t>
  </si>
  <si>
    <t>(จอ ไน ทู)</t>
  </si>
  <si>
    <t>169</t>
  </si>
  <si>
    <t>2-64011</t>
  </si>
  <si>
    <t>TIN MAUNG TUN</t>
  </si>
  <si>
    <t>170</t>
  </si>
  <si>
    <t>2-65014</t>
  </si>
  <si>
    <t>THI HA SOE</t>
  </si>
  <si>
    <t>171</t>
  </si>
  <si>
    <t>2-65035</t>
  </si>
  <si>
    <t>PA PA</t>
  </si>
  <si>
    <t>172</t>
  </si>
  <si>
    <t>2-65037</t>
  </si>
  <si>
    <t>SAN WIN HEIN</t>
  </si>
  <si>
    <t>173</t>
  </si>
  <si>
    <t>2-66012</t>
  </si>
  <si>
    <t>NWAY MIN AUNG</t>
  </si>
  <si>
    <t>174</t>
  </si>
  <si>
    <t>2-67021</t>
  </si>
  <si>
    <t>THET LIN AUNG</t>
  </si>
  <si>
    <t>175</t>
  </si>
  <si>
    <t>2-68004</t>
  </si>
  <si>
    <t>OHN MAR</t>
  </si>
  <si>
    <t>176</t>
  </si>
  <si>
    <t>2-68011</t>
  </si>
  <si>
    <t>HAN SAN WIN</t>
  </si>
  <si>
    <t>177</t>
  </si>
  <si>
    <t>2-68017</t>
  </si>
  <si>
    <t>HEIN MIN HTET</t>
  </si>
  <si>
    <t>178</t>
  </si>
  <si>
    <t>2-68169</t>
  </si>
  <si>
    <t>AUNG LIN OO</t>
  </si>
  <si>
    <t>179</t>
  </si>
  <si>
    <t>2-69024</t>
  </si>
  <si>
    <t>KO KO MAUNG</t>
  </si>
  <si>
    <t>180</t>
  </si>
  <si>
    <t>2-69025</t>
  </si>
  <si>
    <t>THANT ZIN OO</t>
  </si>
  <si>
    <t>181</t>
  </si>
  <si>
    <t>2-69026</t>
  </si>
  <si>
    <t>ARKAR PHYO</t>
  </si>
  <si>
    <t>182</t>
  </si>
  <si>
    <t>2-69027</t>
  </si>
  <si>
    <t>HRIN EI EI HLAING</t>
  </si>
  <si>
    <t>183</t>
  </si>
  <si>
    <t>1-68007</t>
  </si>
  <si>
    <t>พงค์ดนัย</t>
  </si>
  <si>
    <t>ราชลัย</t>
  </si>
  <si>
    <t>22-502</t>
  </si>
  <si>
    <t>184</t>
  </si>
  <si>
    <t>1-68008</t>
  </si>
  <si>
    <t>สุวนัน</t>
  </si>
  <si>
    <t>ขันวัง</t>
  </si>
  <si>
    <t>185</t>
  </si>
  <si>
    <t>1-68093</t>
  </si>
  <si>
    <t>รังสิมา</t>
  </si>
  <si>
    <t>วิชญภาณ</t>
  </si>
  <si>
    <t>186</t>
  </si>
  <si>
    <t>1-68152</t>
  </si>
  <si>
    <t>ศุภาพิชญ์</t>
  </si>
  <si>
    <t>คณะพันธ์</t>
  </si>
  <si>
    <t>187</t>
  </si>
  <si>
    <t>1-68177</t>
  </si>
  <si>
    <t>ราตรี</t>
  </si>
  <si>
    <t>จันทร์ผ่อง</t>
  </si>
  <si>
    <t>188</t>
  </si>
  <si>
    <t>1-69008</t>
  </si>
  <si>
    <t>ลัดดา</t>
  </si>
  <si>
    <t>บันทึก.</t>
  </si>
  <si>
    <t>189</t>
  </si>
  <si>
    <t>2-54008</t>
  </si>
  <si>
    <t>AUNG MOE LATT</t>
  </si>
  <si>
    <t>190</t>
  </si>
  <si>
    <t>2-55010</t>
  </si>
  <si>
    <t>MIN NAING</t>
  </si>
  <si>
    <t>191</t>
  </si>
  <si>
    <t>2-59001</t>
  </si>
  <si>
    <t>AYE ZAR CHI OO</t>
  </si>
  <si>
    <t>192</t>
  </si>
  <si>
    <t>2-65019</t>
  </si>
  <si>
    <t>KYAW MYO TUN</t>
  </si>
  <si>
    <t>193</t>
  </si>
  <si>
    <t>2-65031</t>
  </si>
  <si>
    <t>KYI SAN</t>
  </si>
  <si>
    <t>194</t>
  </si>
  <si>
    <t>2-65040</t>
  </si>
  <si>
    <t>ZIN BO BO</t>
  </si>
  <si>
    <t>195</t>
  </si>
  <si>
    <t>2-66007</t>
  </si>
  <si>
    <t>PA PA HLAING</t>
  </si>
  <si>
    <t>196</t>
  </si>
  <si>
    <t>2-67014</t>
  </si>
  <si>
    <t>SAN MIN AUNG</t>
  </si>
  <si>
    <t>197</t>
  </si>
  <si>
    <t>2-68018</t>
  </si>
  <si>
    <t>MOE WAI YAN</t>
  </si>
  <si>
    <t>198</t>
  </si>
  <si>
    <t>2-68167</t>
  </si>
  <si>
    <t>AW WE SI</t>
  </si>
  <si>
    <t>199</t>
  </si>
  <si>
    <t>2-69021</t>
  </si>
  <si>
    <t>AUNG KYAW MOE</t>
  </si>
  <si>
    <t>200</t>
  </si>
  <si>
    <t>1-51002</t>
  </si>
  <si>
    <t>พิมลจันทร์</t>
  </si>
  <si>
    <t>พรหมสา</t>
  </si>
  <si>
    <t>23-000</t>
  </si>
  <si>
    <t>ประกันคุณภาพ</t>
  </si>
  <si>
    <t>23-100</t>
  </si>
  <si>
    <t>QA</t>
  </si>
  <si>
    <t>201</t>
  </si>
  <si>
    <t>1-55011</t>
  </si>
  <si>
    <t>ชัยยุทธ</t>
  </si>
  <si>
    <t>คำแพร</t>
  </si>
  <si>
    <t>202</t>
  </si>
  <si>
    <t>1-55013</t>
  </si>
  <si>
    <t>เชิดชัย</t>
  </si>
  <si>
    <t>เศษขุนทด</t>
  </si>
  <si>
    <t>203</t>
  </si>
  <si>
    <t>1-63016</t>
  </si>
  <si>
    <t>สมหมาย</t>
  </si>
  <si>
    <t>บุญทด</t>
  </si>
  <si>
    <t>204</t>
  </si>
  <si>
    <t>1-65022</t>
  </si>
  <si>
    <t>สุภาพร</t>
  </si>
  <si>
    <t>205</t>
  </si>
  <si>
    <t>1-68014</t>
  </si>
  <si>
    <t>พัชรชล</t>
  </si>
  <si>
    <t>คงสว่าง</t>
  </si>
  <si>
    <t>206</t>
  </si>
  <si>
    <t>1-68092</t>
  </si>
  <si>
    <t>ชรินรัตน์</t>
  </si>
  <si>
    <t>จันทร์วงษ์</t>
  </si>
  <si>
    <t>207</t>
  </si>
  <si>
    <t>1-68097</t>
  </si>
  <si>
    <t>อภิญญา</t>
  </si>
  <si>
    <t>หล้าเพชร</t>
  </si>
  <si>
    <t>208</t>
  </si>
  <si>
    <t>1-68107</t>
  </si>
  <si>
    <t>ธิดาทิพย์</t>
  </si>
  <si>
    <t>จันทรเจริญ</t>
  </si>
  <si>
    <t>209</t>
  </si>
  <si>
    <t>1-68130</t>
  </si>
  <si>
    <t>อลิสา</t>
  </si>
  <si>
    <t>นามราชา</t>
  </si>
  <si>
    <t>210</t>
  </si>
  <si>
    <t>1-68149</t>
  </si>
  <si>
    <t>สมัคร</t>
  </si>
  <si>
    <t>พรเสนา</t>
  </si>
  <si>
    <t>211</t>
  </si>
  <si>
    <t>1-69030</t>
  </si>
  <si>
    <t>สิตานัน</t>
  </si>
  <si>
    <t>สว่างฟ้า</t>
  </si>
  <si>
    <t>212</t>
  </si>
  <si>
    <t>1-69042</t>
  </si>
  <si>
    <t>วัลลพ</t>
  </si>
  <si>
    <t>ศุภวัฒนกุลชัย</t>
  </si>
  <si>
    <t>213</t>
  </si>
  <si>
    <t>1-69047</t>
  </si>
  <si>
    <t>ปวรินทร์</t>
  </si>
  <si>
    <t>จวบสุข</t>
  </si>
  <si>
    <t>214</t>
  </si>
  <si>
    <t>2-63006</t>
  </si>
  <si>
    <t>WAI YAN PHYO</t>
  </si>
  <si>
    <t>(เวยันเพียว)</t>
  </si>
  <si>
    <t>215</t>
  </si>
  <si>
    <t>2-63007</t>
  </si>
  <si>
    <t>THANT ZIN MYO</t>
  </si>
  <si>
    <t>216</t>
  </si>
  <si>
    <t>2-63008</t>
  </si>
  <si>
    <t>THIHA ZAW</t>
  </si>
  <si>
    <t>217</t>
  </si>
  <si>
    <t>2-63009</t>
  </si>
  <si>
    <t>THANT ZIN TUN</t>
  </si>
  <si>
    <t>(ตั้ง ซิน ทุน)</t>
  </si>
  <si>
    <t>218</t>
  </si>
  <si>
    <t>2-63010</t>
  </si>
  <si>
    <t>MAUNG NAING</t>
  </si>
  <si>
    <t>(เมา ไน)</t>
  </si>
  <si>
    <t>219</t>
  </si>
  <si>
    <t>2-65003</t>
  </si>
  <si>
    <t>HTET HTET KHAING</t>
  </si>
  <si>
    <t>220</t>
  </si>
  <si>
    <t>2-65020</t>
  </si>
  <si>
    <t>THET THET MAW</t>
  </si>
  <si>
    <t>221</t>
  </si>
  <si>
    <t>2-65025</t>
  </si>
  <si>
    <t>ZAW WIN NAING</t>
  </si>
  <si>
    <t>222</t>
  </si>
  <si>
    <t>2-68117</t>
  </si>
  <si>
    <t>CHI MYAT KO KO</t>
  </si>
  <si>
    <t>223</t>
  </si>
  <si>
    <t>3-56003</t>
  </si>
  <si>
    <t>ดลวัฒน์</t>
  </si>
  <si>
    <t>ใจบุญ</t>
  </si>
  <si>
    <t>224</t>
  </si>
  <si>
    <t>1-62001</t>
  </si>
  <si>
    <t>วิไลพร</t>
  </si>
  <si>
    <t>ยลประสงค์</t>
  </si>
  <si>
    <t>23-200</t>
  </si>
  <si>
    <t>QC</t>
  </si>
  <si>
    <t>225</t>
  </si>
  <si>
    <t>1-62002</t>
  </si>
  <si>
    <t>ทิพวัลย์</t>
  </si>
  <si>
    <t>ไวยวุฒิ</t>
  </si>
  <si>
    <t>226</t>
  </si>
  <si>
    <t>1-64022</t>
  </si>
  <si>
    <t>กัลยา</t>
  </si>
  <si>
    <t>โปร่งฟ้า</t>
  </si>
  <si>
    <t>227</t>
  </si>
  <si>
    <t>1-65018</t>
  </si>
  <si>
    <t>วิไลวรรณ</t>
  </si>
  <si>
    <t>โยธาจันทร์</t>
  </si>
  <si>
    <t>228</t>
  </si>
  <si>
    <t>1-65021</t>
  </si>
  <si>
    <t>สุรภา</t>
  </si>
  <si>
    <t>กระจ่างแจ้ง</t>
  </si>
  <si>
    <t>229</t>
  </si>
  <si>
    <t>1-67002</t>
  </si>
  <si>
    <t>รัชกฤช</t>
  </si>
  <si>
    <t>ศรีสุขดำรง</t>
  </si>
  <si>
    <t>230</t>
  </si>
  <si>
    <t>1-67008</t>
  </si>
  <si>
    <t>พะเยาว์</t>
  </si>
  <si>
    <t>สถานสุข</t>
  </si>
  <si>
    <t>231</t>
  </si>
  <si>
    <t>1-67009</t>
  </si>
  <si>
    <t>อธิวัฒน์</t>
  </si>
  <si>
    <t>พุ่มเจริญ</t>
  </si>
  <si>
    <t>232</t>
  </si>
  <si>
    <t>1-68062</t>
  </si>
  <si>
    <t>ภัททิยา</t>
  </si>
  <si>
    <t>เก่งนา</t>
  </si>
  <si>
    <t>233</t>
  </si>
  <si>
    <t>1-69003</t>
  </si>
  <si>
    <t>ธนากร</t>
  </si>
  <si>
    <t>พิจารณ์</t>
  </si>
  <si>
    <t>234</t>
  </si>
  <si>
    <t>1-66003</t>
  </si>
  <si>
    <t>หฤทัย</t>
  </si>
  <si>
    <t>รองทอง</t>
  </si>
  <si>
    <t>23-300</t>
  </si>
  <si>
    <t>QMS</t>
  </si>
  <si>
    <t>07</t>
  </si>
  <si>
    <t>JG07 ผู้ช่วยผู้จัดการ</t>
  </si>
  <si>
    <t>235</t>
  </si>
  <si>
    <t>1-68045</t>
  </si>
  <si>
    <t>ทวีศักดิ์</t>
  </si>
  <si>
    <t>ไชยสงคราม</t>
  </si>
  <si>
    <t>24-000</t>
  </si>
  <si>
    <t>วิศวกรรมและซ่อมบำรุง</t>
  </si>
  <si>
    <t>24-100</t>
  </si>
  <si>
    <t>วิศวกรรม</t>
  </si>
  <si>
    <t>236</t>
  </si>
  <si>
    <t>1-33001</t>
  </si>
  <si>
    <t>24-200</t>
  </si>
  <si>
    <t>ซ่อมบำรุง</t>
  </si>
  <si>
    <t>237</t>
  </si>
  <si>
    <t>1-33003</t>
  </si>
  <si>
    <t>แสวง</t>
  </si>
  <si>
    <t>เหลากลม</t>
  </si>
  <si>
    <t>238</t>
  </si>
  <si>
    <t>1-68160</t>
  </si>
  <si>
    <t>บุญฑริกา</t>
  </si>
  <si>
    <t>ธุระพันธ์</t>
  </si>
  <si>
    <t>239</t>
  </si>
  <si>
    <t>1-40001</t>
  </si>
  <si>
    <t>คารม</t>
  </si>
  <si>
    <t>รัตนะโสภา</t>
  </si>
  <si>
    <t>30-000</t>
  </si>
  <si>
    <t>บริหาร/สนับสนุน</t>
  </si>
  <si>
    <t>30-100</t>
  </si>
  <si>
    <t>บริหาร</t>
  </si>
  <si>
    <t>240</t>
  </si>
  <si>
    <t>1-47001</t>
  </si>
  <si>
    <t>ชลิตา</t>
  </si>
  <si>
    <t>พูนลาภมงคล</t>
  </si>
  <si>
    <t>JG11 รองกรรมการผู้จัดการ</t>
  </si>
  <si>
    <t>241</t>
  </si>
  <si>
    <t>1-48001</t>
  </si>
  <si>
    <t>ชลิสา</t>
  </si>
  <si>
    <t>242</t>
  </si>
  <si>
    <t>1-48002</t>
  </si>
  <si>
    <t>ชูลิต</t>
  </si>
  <si>
    <t>จาติเสถียร</t>
  </si>
  <si>
    <t>JG12 กรรมการผู้จัดการ / CEO</t>
  </si>
  <si>
    <t>243</t>
  </si>
  <si>
    <t>1-50004</t>
  </si>
  <si>
    <t>สมจิตร์</t>
  </si>
  <si>
    <t>เด่นดวง</t>
  </si>
  <si>
    <t>244</t>
  </si>
  <si>
    <t>1-52001</t>
  </si>
  <si>
    <t>ลลิต์ฉัตร</t>
  </si>
  <si>
    <t>245</t>
  </si>
  <si>
    <t>1-66002</t>
  </si>
  <si>
    <t>ปิยะมาศ</t>
  </si>
  <si>
    <t>หมายงาม</t>
  </si>
  <si>
    <t>246</t>
  </si>
  <si>
    <t>1-68108</t>
  </si>
  <si>
    <t>สุธิดา</t>
  </si>
  <si>
    <t>ศรีสวัสดิ์</t>
  </si>
  <si>
    <t>247</t>
  </si>
  <si>
    <t>120001</t>
  </si>
  <si>
    <t>ชลิต</t>
  </si>
  <si>
    <t>248</t>
  </si>
  <si>
    <t>2-69004</t>
  </si>
  <si>
    <t>Nan Aung</t>
  </si>
  <si>
    <t>249</t>
  </si>
  <si>
    <t>1-67010</t>
  </si>
  <si>
    <t>ยาใจ</t>
  </si>
  <si>
    <t>ปะกิตัง</t>
  </si>
  <si>
    <t>31-000</t>
  </si>
  <si>
    <t>บัญชีและการเงิน</t>
  </si>
  <si>
    <t>31-100</t>
  </si>
  <si>
    <t>บัญชี</t>
  </si>
  <si>
    <t>250</t>
  </si>
  <si>
    <t>1-69022</t>
  </si>
  <si>
    <t>ปันสิริ</t>
  </si>
  <si>
    <t>เกษมพรมณี</t>
  </si>
  <si>
    <t>251</t>
  </si>
  <si>
    <t>1-69029</t>
  </si>
  <si>
    <t>รจนา</t>
  </si>
  <si>
    <t>กาหาวงศ์</t>
  </si>
  <si>
    <t>252</t>
  </si>
  <si>
    <t>1-68135</t>
  </si>
  <si>
    <t>ชนกานต์</t>
  </si>
  <si>
    <t>ทิยะ</t>
  </si>
  <si>
    <t>31-200</t>
  </si>
  <si>
    <t>การเงิน</t>
  </si>
  <si>
    <t>253</t>
  </si>
  <si>
    <t>1-37001</t>
  </si>
  <si>
    <t>รุ่งทิพย์</t>
  </si>
  <si>
    <t>วงศ์ปรากฏ</t>
  </si>
  <si>
    <t>31-300</t>
  </si>
  <si>
    <t>ต้นทุน</t>
  </si>
  <si>
    <t>254</t>
  </si>
  <si>
    <t>1-58002</t>
  </si>
  <si>
    <t>อำนวย</t>
  </si>
  <si>
    <t>พรมกล่ำ</t>
  </si>
  <si>
    <t>32-000</t>
  </si>
  <si>
    <t>ทรัพยากรบุคคลและธุรการ</t>
  </si>
  <si>
    <t>32-100</t>
  </si>
  <si>
    <t>255</t>
  </si>
  <si>
    <t>1-64009</t>
  </si>
  <si>
    <t>เปี่ยม</t>
  </si>
  <si>
    <t>บุญคง</t>
  </si>
  <si>
    <t>256</t>
  </si>
  <si>
    <t>1-67012</t>
  </si>
  <si>
    <t>ตี</t>
  </si>
  <si>
    <t>ยืนยง</t>
  </si>
  <si>
    <t>257</t>
  </si>
  <si>
    <t>1-68046</t>
  </si>
  <si>
    <t>พรพิมล</t>
  </si>
  <si>
    <t>วัดเเผ่นลำ</t>
  </si>
  <si>
    <t>258</t>
  </si>
  <si>
    <t>1-69028</t>
  </si>
  <si>
    <t>วรวัฒน์</t>
  </si>
  <si>
    <t>คล้ายหนู</t>
  </si>
  <si>
    <t>259</t>
  </si>
  <si>
    <t>2-68156</t>
  </si>
  <si>
    <t>EI EI PHYO</t>
  </si>
  <si>
    <t>260</t>
  </si>
  <si>
    <t>2-69042</t>
  </si>
  <si>
    <t>THI DA</t>
  </si>
  <si>
    <t>261</t>
  </si>
  <si>
    <t>1-46001</t>
  </si>
  <si>
    <t>ธนันรดา</t>
  </si>
  <si>
    <t>ปิติมาตร์</t>
  </si>
  <si>
    <t>40-000</t>
  </si>
  <si>
    <t>กลยุทธ์</t>
  </si>
  <si>
    <t>262</t>
  </si>
  <si>
    <t>1-50002</t>
  </si>
  <si>
    <t>สุภาพรรณ</t>
  </si>
  <si>
    <t>พรเทวิน</t>
  </si>
  <si>
    <t>263</t>
  </si>
  <si>
    <t>1-65005</t>
  </si>
  <si>
    <t>วุฒิชัย</t>
  </si>
  <si>
    <t>ศรีศักดิ์อนันต์</t>
  </si>
  <si>
    <t>264</t>
  </si>
  <si>
    <t>1-27001</t>
  </si>
  <si>
    <t>สุวรรณา</t>
  </si>
  <si>
    <t>50-000</t>
  </si>
  <si>
    <t>ผู้เชี่ยวชาญ</t>
  </si>
  <si>
    <t>265</t>
  </si>
  <si>
    <t>1-40002</t>
  </si>
  <si>
    <t>ไพโรจน์</t>
  </si>
  <si>
    <t>แจ้งดี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</si>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</sst>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#,##0.000"/>
  </numFmts>
  <fonts count="2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trike/>
      <sz val="11"/>
      <color theme="1"/>
      <name val="Tahoma"/>
      <family val="2"/>
      <scheme val="minor"/>
    </font>
    <font>
      <sz val="11"/>
      <color theme="1"/>
      <name val="Aptos Narrow"/>
      <family val="2"/>
    </font>
    <font>
      <sz val="10"/>
      <color rgb="FF0070C0"/>
      <name val="Tahoma"/>
      <family val="2"/>
      <scheme val="minor"/>
    </font>
    <font>
      <sz val="11"/>
      <color rgb="FF0070C0"/>
      <name val="Tahoma"/>
      <family val="2"/>
      <scheme val="minor"/>
    </font>
    <font>
      <sz val="11"/>
      <color rgb="FF0070C0"/>
      <name val="Aptos Narrow"/>
      <family val="2"/>
    </font>
    <font>
      <sz val="11"/>
      <name val="Tahoma"/>
      <family val="2"/>
      <scheme val="minor"/>
    </font>
    <font>
      <strike/>
      <sz val="11"/>
      <name val="Tahoma"/>
      <family val="2"/>
      <scheme val="minor"/>
    </font>
    <font>
      <sz val="11"/>
      <color rgb="FFFF0000"/>
      <name val="Tahoma"/>
      <family val="2"/>
      <scheme val="minor"/>
    </font>
    <font>
      <strike/>
      <sz val="11"/>
      <color rgb="FF0070C0"/>
      <name val="Tahoma"/>
      <family val="2"/>
      <scheme val="minor"/>
    </font>
    <font>
      <sz val="10"/>
      <color theme="1"/>
      <name val="Aptos Narrow"/>
      <family val="2"/>
    </font>
    <font>
      <b/>
      <sz val="13"/>
      <color rgb="FF1F4E79"/>
      <name val="Arial"/>
    </font>
    <font>
      <b/>
      <sz val="10"/>
      <color rgb="FFFFFFFF"/>
      <name val="Arial"/>
    </font>
    <font>
      <sz val="9"/>
      <name val="Arial"/>
    </font>
    <font>
      <sz val="11"/>
      <color rgb="FF000000"/>
      <name val="Calibri"/>
    </font>
    <font>
      <b/>
      <sz val="24"/>
      <color rgb="FF000000"/>
      <name val="Cordia New"/>
    </font>
    <font>
      <b/>
      <sz val="15"/>
      <color rgb="FF000000"/>
      <name val="Cordia New"/>
    </font>
    <font>
      <b/>
      <sz val="15"/>
      <color rgb="FFFFFFFF"/>
      <name val="Cordia New"/>
    </font>
    <font>
      <sz val="16"/>
      <color rgb="FF000000"/>
      <name val="Cordia New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gray125">
        <bgColor theme="9" tint="0.79998168889431442"/>
      </patternFill>
    </fill>
    <fill>
      <patternFill patternType="gray125">
        <bgColor theme="9" tint="0.59999389629810485"/>
      </patternFill>
    </fill>
    <fill>
      <patternFill patternType="lightGray"/>
    </fill>
    <fill>
      <patternFill patternType="solid">
        <fgColor rgb="FFDEEAF1"/>
        <bgColor rgb="FFDEEAF1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E0E0E0"/>
        <bgColor rgb="FF000000"/>
      </patternFill>
    </fill>
    <fill>
      <patternFill patternType="solid">
        <fgColor rgb="FFFF0000"/>
        <bgColor rgb="FF000000"/>
      </patternFill>
    </fill>
  </fills>
  <borders count="4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43" fontId="1" fillId="0" borderId="0"/>
    <xf numFmtId="0" fontId="2" fillId="0" borderId="0"/>
    <xf numFmtId="0" fontId="3" fillId="0" borderId="0"/>
    <xf numFmtId="0" fontId="3" fillId="0" borderId="0"/>
    <xf numFmtId="43" fontId="3" fillId="0" borderId="0"/>
    <xf numFmtId="0" fontId="1" fillId="0" borderId="0"/>
    <xf numFmtId="9" fontId="3" fillId="0" borderId="0"/>
    <xf numFmtId="9" fontId="1" fillId="0" borderId="0"/>
    <xf numFmtId="0" fontId="1" fillId="0" borderId="0"/>
    <xf numFmtId="0" fontId="18" fillId="0" borderId="0"/>
  </cellStyleXfs>
  <cellXfs count="76">
    <xf numFmtId="0" fontId="0" fillId="0" borderId="0" xfId="0"/>
    <xf numFmtId="3" fontId="1" fillId="2" borderId="0" xfId="6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3" fontId="0" fillId="0" borderId="0" xfId="0" quotePrefix="1" applyNumberFormat="1" applyAlignment="1">
      <alignment horizontal="center" vertical="center"/>
    </xf>
    <xf numFmtId="3" fontId="0" fillId="0" borderId="0" xfId="0" applyNumberFormat="1"/>
    <xf numFmtId="10" fontId="7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7" fontId="9" fillId="0" borderId="0" xfId="9" applyNumberFormat="1" applyFont="1" applyAlignment="1">
      <alignment horizontal="center"/>
    </xf>
    <xf numFmtId="0" fontId="9" fillId="0" borderId="0" xfId="9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43" fontId="10" fillId="0" borderId="0" xfId="1" applyFont="1"/>
    <xf numFmtId="3" fontId="0" fillId="0" borderId="0" xfId="0" applyNumberFormat="1" applyAlignment="1">
      <alignment horizontal="right" vertical="center"/>
    </xf>
    <xf numFmtId="3" fontId="0" fillId="1" borderId="0" xfId="0" applyNumberFormat="1" applyFill="1"/>
    <xf numFmtId="0" fontId="10" fillId="6" borderId="0" xfId="0" applyFont="1" applyFill="1" applyAlignment="1">
      <alignment horizontal="center" vertical="center"/>
    </xf>
    <xf numFmtId="3" fontId="0" fillId="4" borderId="0" xfId="0" applyNumberFormat="1" applyFill="1"/>
    <xf numFmtId="3" fontId="0" fillId="5" borderId="0" xfId="0" applyNumberFormat="1" applyFill="1"/>
    <xf numFmtId="3" fontId="0" fillId="2" borderId="0" xfId="0" applyNumberFormat="1" applyFill="1"/>
    <xf numFmtId="0" fontId="11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0" borderId="0" xfId="0" applyFont="1"/>
    <xf numFmtId="3" fontId="5" fillId="0" borderId="0" xfId="0" applyNumberFormat="1" applyFont="1" applyAlignment="1">
      <alignment horizontal="right" vertical="center"/>
    </xf>
    <xf numFmtId="3" fontId="5" fillId="4" borderId="0" xfId="0" applyNumberFormat="1" applyFont="1" applyFill="1"/>
    <xf numFmtId="3" fontId="5" fillId="0" borderId="0" xfId="0" applyNumberFormat="1" applyFont="1"/>
    <xf numFmtId="0" fontId="10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0" fillId="4" borderId="0" xfId="0" applyNumberFormat="1" applyFill="1" applyAlignment="1">
      <alignment horizontal="right" vertical="center"/>
    </xf>
    <xf numFmtId="0" fontId="10" fillId="1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1" borderId="0" xfId="0" applyFont="1" applyFill="1"/>
    <xf numFmtId="3" fontId="0" fillId="1" borderId="0" xfId="0" applyNumberFormat="1" applyFill="1" applyAlignment="1">
      <alignment horizontal="right" vertical="center"/>
    </xf>
    <xf numFmtId="3" fontId="0" fillId="8" borderId="0" xfId="0" applyNumberFormat="1" applyFill="1"/>
    <xf numFmtId="0" fontId="0" fillId="9" borderId="0" xfId="0" applyFill="1"/>
    <xf numFmtId="3" fontId="0" fillId="9" borderId="0" xfId="0" applyNumberFormat="1" applyFill="1"/>
    <xf numFmtId="0" fontId="13" fillId="0" borderId="0" xfId="0" applyFont="1" applyAlignment="1">
      <alignment horizontal="center" vertical="center"/>
    </xf>
    <xf numFmtId="0" fontId="13" fillId="0" borderId="0" xfId="0" applyFont="1"/>
    <xf numFmtId="3" fontId="10" fillId="2" borderId="0" xfId="0" applyNumberFormat="1" applyFont="1" applyFill="1"/>
    <xf numFmtId="3" fontId="0" fillId="2" borderId="0" xfId="0" applyNumberFormat="1" applyFill="1" applyAlignment="1">
      <alignment horizontal="right" vertical="center"/>
    </xf>
    <xf numFmtId="3" fontId="0" fillId="4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10" fillId="3" borderId="0" xfId="0" applyFont="1" applyFill="1"/>
    <xf numFmtId="0" fontId="1" fillId="0" borderId="0" xfId="9"/>
    <xf numFmtId="0" fontId="0" fillId="6" borderId="0" xfId="0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8" applyFont="1" applyAlignment="1">
      <alignment horizontal="center" vertical="center"/>
    </xf>
    <xf numFmtId="9" fontId="0" fillId="0" borderId="0" xfId="8" applyFont="1"/>
    <xf numFmtId="0" fontId="14" fillId="0" borderId="0" xfId="9" applyFont="1" applyAlignment="1">
      <alignment horizontal="center"/>
    </xf>
    <xf numFmtId="3" fontId="6" fillId="1" borderId="0" xfId="0" applyNumberFormat="1" applyFont="1" applyFill="1"/>
    <xf numFmtId="0" fontId="16" fillId="11" borderId="1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left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left" vertical="center" wrapText="1"/>
    </xf>
    <xf numFmtId="0" fontId="18" fillId="0" borderId="0" xfId="10"/>
    <xf numFmtId="0" fontId="20" fillId="14" borderId="3" xfId="10" applyFont="1" applyFill="1" applyBorder="1" applyAlignment="1">
      <alignment horizontal="center" vertical="center"/>
    </xf>
    <xf numFmtId="0" fontId="21" fillId="15" borderId="3" xfId="10" applyFont="1" applyFill="1" applyBorder="1" applyAlignment="1">
      <alignment horizontal="center" vertical="center"/>
    </xf>
    <xf numFmtId="0" fontId="22" fillId="0" borderId="3" xfId="10" applyFont="1" applyBorder="1" applyAlignment="1">
      <alignment horizontal="center" wrapText="1"/>
    </xf>
    <xf numFmtId="0" fontId="22" fillId="0" borderId="3" xfId="10" applyFont="1" applyBorder="1" applyAlignment="1">
      <alignment horizontal="left" wrapText="1"/>
    </xf>
    <xf numFmtId="187" fontId="16" fillId="11" borderId="1" xfId="0" applyNumberFormat="1" applyFont="1" applyFill="1" applyBorder="1" applyAlignment="1">
      <alignment horizontal="center" vertical="center" wrapText="1"/>
    </xf>
    <xf numFmtId="187" fontId="17" fillId="12" borderId="2" xfId="0" applyNumberFormat="1" applyFont="1" applyFill="1" applyBorder="1" applyAlignment="1">
      <alignment horizontal="right" vertical="center" wrapText="1"/>
    </xf>
    <xf numFmtId="187" fontId="17" fillId="13" borderId="2" xfId="0" applyNumberFormat="1" applyFont="1" applyFill="1" applyBorder="1" applyAlignment="1">
      <alignment horizontal="right" vertical="center" wrapText="1"/>
    </xf>
    <xf numFmtId="187" fontId="0" fillId="0" borderId="0" xfId="0" applyNumberFormat="1" applyAlignment="1">
      <alignment horizontal="right"/>
    </xf>
    <xf numFmtId="0" fontId="17" fillId="12" borderId="2" xfId="0" applyFont="1" applyFill="1" applyBorder="1" applyAlignment="1">
      <alignment horizontal="right" vertical="center" wrapText="1"/>
    </xf>
    <xf numFmtId="9" fontId="17" fillId="12" borderId="2" xfId="0" applyNumberFormat="1" applyFont="1" applyFill="1" applyBorder="1" applyAlignment="1">
      <alignment horizontal="right" vertical="center" wrapText="1"/>
    </xf>
    <xf numFmtId="0" fontId="17" fillId="13" borderId="2" xfId="0" applyFont="1" applyFill="1" applyBorder="1" applyAlignment="1">
      <alignment horizontal="right" vertical="center" wrapText="1"/>
    </xf>
    <xf numFmtId="9" fontId="17" fillId="13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9" fillId="14" borderId="3" xfId="10" applyFont="1" applyFill="1" applyBorder="1" applyAlignment="1">
      <alignment horizontal="center" vertical="center"/>
    </xf>
    <xf numFmtId="0" fontId="15" fillId="10" borderId="0" xfId="0" applyFont="1" applyFill="1" applyAlignment="1">
      <alignment horizontal="center" vertical="center" wrapText="1"/>
    </xf>
    <xf numFmtId="0" fontId="0" fillId="0" borderId="0" xfId="0"/>
  </cellXfs>
  <cellStyles count="11">
    <cellStyle name="Comma" xfId="1" builtinId="3"/>
    <cellStyle name="Comma 2" xfId="5" xr:uid="{00000000-0005-0000-0000-000005000000}"/>
    <cellStyle name="Normal" xfId="0" builtinId="0"/>
    <cellStyle name="Normal 11" xfId="2" xr:uid="{00000000-0005-0000-0000-000002000000}"/>
    <cellStyle name="Normal 2" xfId="4" xr:uid="{00000000-0005-0000-0000-000004000000}"/>
    <cellStyle name="Percent" xfId="8" builtinId="5"/>
    <cellStyle name="Percent 2" xfId="7" xr:uid="{00000000-0005-0000-0000-000007000000}"/>
    <cellStyle name="ปกติ 2" xfId="6" xr:uid="{00000000-0005-0000-0000-000006000000}"/>
    <cellStyle name="ปกติ 3" xfId="3" xr:uid="{00000000-0005-0000-0000-000003000000}"/>
    <cellStyle name="ปกติ 4" xfId="9" xr:uid="{00000000-0005-0000-0000-000009000000}"/>
    <cellStyle name="ปกติ 5" xfId="10" xr:uid="{9BEE1484-C3E6-417E-87AE-7F99810CE9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PC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TFMC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ER\Downloads\CS%20Est.%20Sale\CAP%20-&#3605;&#3657;&#3609;&#3593;&#3610;&#3633;&#361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003"/>
      <sheetName val="NCAB"/>
      <sheetName val="MC3(main)"/>
      <sheetName val="MC1"/>
      <sheetName val="Invoice"/>
      <sheetName val="COST O.K."/>
      <sheetName val="COST_O_K_"/>
      <sheetName val="Ref"/>
      <sheetName val="総合B"/>
      <sheetName val="MPL 技連"/>
      <sheetName val="342A Block"/>
      <sheetName val="2005"/>
      <sheetName val="選酋表"/>
      <sheetName val="モデル賃金"/>
      <sheetName val="350CXZCO"/>
      <sheetName val="00PCM"/>
      <sheetName val="IMCT BODY"/>
      <sheetName val="New DYNA"/>
      <sheetName val="ﾕｰｻﾞｰ設定"/>
      <sheetName val="ワースト部品ハンドワーク 09"/>
      <sheetName val="ワースト部品ハンドワーク08"/>
      <sheetName val="Balance Sheet"/>
      <sheetName val="SUM DLV"/>
      <sheetName val="ValueList"/>
      <sheetName val="ISO_250"/>
      <sheetName val="DIST"/>
      <sheetName val=" Sale Order -N"/>
      <sheetName val="#REF"/>
      <sheetName val="COST_O_K_1"/>
      <sheetName val="MPL_技連"/>
      <sheetName val="342A_Block"/>
      <sheetName val="DATA BASE"/>
      <sheetName val="Data"/>
      <sheetName val="DATA F2"/>
      <sheetName val="cash flow 1"/>
      <sheetName val="cash flow 2"/>
      <sheetName val="Report_Range"/>
      <sheetName val="Report_Anova"/>
      <sheetName val="INPUT SHEET"/>
      <sheetName val="8974450390 CPK"/>
      <sheetName val="ADJ - RATE"/>
      <sheetName val="Km"/>
      <sheetName val="IMCT_BODY"/>
      <sheetName val="New_DYNA"/>
      <sheetName val="COST_O_K_2"/>
      <sheetName val="MPL_技連1"/>
      <sheetName val="342A_Block1"/>
      <sheetName val="IMCT_BODY1"/>
      <sheetName val="New_DYNA1"/>
      <sheetName val="05MY USA"/>
      <sheetName val="set date"/>
      <sheetName val="96・(・・)"/>
      <sheetName val="CTdongia"/>
      <sheetName val="wire"/>
      <sheetName val="INCOMING(Graph )"/>
      <sheetName val="PUR170095"/>
      <sheetName val="Sheet1"/>
      <sheetName val="サーバイメージ図"/>
      <sheetName val="00 DOWNLOAD"/>
      <sheetName val="CRITERIA2"/>
      <sheetName val="CRITERIA1"/>
      <sheetName val="Assumptions"/>
      <sheetName val="_Sale_Order_-N"/>
      <sheetName val="DATA_BASE"/>
      <sheetName val="SUM_DLV"/>
      <sheetName val="Balance_Sheet"/>
      <sheetName val="ワースト部品ハンドワーク_09"/>
      <sheetName val="Dlrnames"/>
      <sheetName val="Top22(GER)"/>
      <sheetName val="計算結果"/>
      <sheetName val="code"/>
      <sheetName val="ADJ_-_RATE"/>
      <sheetName val="GMX 002"/>
      <sheetName val="10-1 Media"/>
      <sheetName val="10-cut"/>
      <sheetName val="selling prices"/>
      <sheetName val="GLOBAL SALES  MARCH 2002"/>
      <sheetName val="ワースト部品ハンドワーク_091"/>
      <sheetName val="COST_O_K_5"/>
      <sheetName val="MPL_技連3"/>
      <sheetName val="342A_Block3"/>
      <sheetName val="ワースト部品ハンドワーク_093"/>
      <sheetName val="IMCT_BODY2"/>
      <sheetName val="New_DYNA2"/>
      <sheetName val="Balance_Sheet2"/>
      <sheetName val="SUM_DLV2"/>
      <sheetName val="DATA_F22"/>
      <sheetName val="_Sale_Order_-N1"/>
      <sheetName val="DATA_BASE1"/>
      <sheetName val="DATA_F2"/>
      <sheetName val="COST_O_K_3"/>
      <sheetName val="COST_O_K_4"/>
      <sheetName val="MPL_技連2"/>
      <sheetName val="342A_Block2"/>
      <sheetName val="Balance_Sheet1"/>
      <sheetName val="ワースト部品ハンドワーク_092"/>
      <sheetName val="SUM_DLV1"/>
      <sheetName val="DATA_F21"/>
      <sheetName val="COST_O_K_6"/>
      <sheetName val="MPL_技連4"/>
      <sheetName val="342A_Block4"/>
      <sheetName val="ワースト部品ハンドワーク_094"/>
      <sheetName val="IMCT_BODY3"/>
      <sheetName val="New_DYNA3"/>
      <sheetName val="Balance_Sheet3"/>
      <sheetName val="SUM_DLV3"/>
      <sheetName val="DATA_F23"/>
      <sheetName val="_Sale_Order_-N2"/>
      <sheetName val="DATA_BASE2"/>
      <sheetName val="COST_O_K_10"/>
      <sheetName val="MPL_技連8"/>
      <sheetName val="342A_Block8"/>
      <sheetName val="IMCT_BODY7"/>
      <sheetName val="New_DYNA7"/>
      <sheetName val="Balance_Sheet7"/>
      <sheetName val="ワースト部品ハンドワーク_098"/>
      <sheetName val="SUM_DLV7"/>
      <sheetName val="DATA_F27"/>
      <sheetName val="_Sale_Order_-N6"/>
      <sheetName val="DATA_BASE6"/>
      <sheetName val="COST_O_K_8"/>
      <sheetName val="MPL_技連6"/>
      <sheetName val="342A_Block6"/>
      <sheetName val="IMCT_BODY5"/>
      <sheetName val="New_DYNA5"/>
      <sheetName val="Balance_Sheet5"/>
      <sheetName val="ワースト部品ハンドワーク_096"/>
      <sheetName val="SUM_DLV5"/>
      <sheetName val="DATA_F25"/>
      <sheetName val="_Sale_Order_-N4"/>
      <sheetName val="DATA_BASE4"/>
      <sheetName val="COST_O_K_7"/>
      <sheetName val="MPL_技連5"/>
      <sheetName val="342A_Block5"/>
      <sheetName val="ワースト部品ハンドワーク_095"/>
      <sheetName val="IMCT_BODY4"/>
      <sheetName val="New_DYNA4"/>
      <sheetName val="Balance_Sheet4"/>
      <sheetName val="DATA_F24"/>
      <sheetName val="SUM_DLV4"/>
      <sheetName val="_Sale_Order_-N3"/>
      <sheetName val="DATA_BASE3"/>
      <sheetName val="COST_O_K_9"/>
      <sheetName val="MPL_技連7"/>
      <sheetName val="342A_Block7"/>
      <sheetName val="IMCT_BODY6"/>
      <sheetName val="New_DYNA6"/>
      <sheetName val="Balance_Sheet6"/>
      <sheetName val="ワースト部品ハンドワーク_097"/>
      <sheetName val="SUM_DLV6"/>
      <sheetName val="DATA_F26"/>
      <sheetName val="_Sale_Order_-N5"/>
      <sheetName val="DATA_BASE5"/>
      <sheetName val="COST_O_K_11"/>
      <sheetName val="MPL_技連9"/>
      <sheetName val="342A_Block9"/>
      <sheetName val="ワースト部品ハンドワーク_099"/>
      <sheetName val="IMCT_BODY8"/>
      <sheetName val="New_DYNA8"/>
      <sheetName val="Balance_Sheet8"/>
      <sheetName val="SUM_DLV8"/>
      <sheetName val="DATA_F28"/>
      <sheetName val="_Sale_Order_-N7"/>
      <sheetName val="DATA_BASE7"/>
      <sheetName val="COST_O_K_12"/>
      <sheetName val="MPL_技連10"/>
      <sheetName val="342A_Block10"/>
      <sheetName val="ワースト部品ハンドワーク_0910"/>
      <sheetName val="IMCT_BODY9"/>
      <sheetName val="New_DYNA9"/>
      <sheetName val="Balance_Sheet9"/>
      <sheetName val="SUM_DLV9"/>
      <sheetName val="DATA_F29"/>
      <sheetName val="_Sale_Order_-N8"/>
      <sheetName val="DATA_BASE8"/>
      <sheetName val="DEC 98"/>
      <sheetName val="std-time-new"/>
      <sheetName val="CCR"/>
      <sheetName val="Takt ( assy )"/>
      <sheetName val="Lookup"/>
      <sheetName val="TCBARRE"/>
      <sheetName val="QR20-1101"/>
      <sheetName val="PE"/>
      <sheetName val="cash_flow_1"/>
      <sheetName val="cash_flow_2"/>
      <sheetName val="INPUT_SHEET"/>
      <sheetName val="8974450390_CPK"/>
      <sheetName val="ADJ_-_RATE1"/>
      <sheetName val="05MY_USA"/>
      <sheetName val="set_date"/>
      <sheetName val="INCOMING(Graph_)"/>
      <sheetName val="00_DOWNLOAD"/>
      <sheetName val="GMX_002"/>
      <sheetName val="10-1_Media"/>
      <sheetName val="selling_prices"/>
      <sheetName val="cash_flow_11"/>
      <sheetName val="cash_flow_21"/>
      <sheetName val="INPUT_SHEET1"/>
      <sheetName val="8974450390_CPK1"/>
      <sheetName val="ADJ_-_RATE2"/>
      <sheetName val="05MY_USA1"/>
      <sheetName val="set_date1"/>
      <sheetName val="INCOMING(Graph_)1"/>
      <sheetName val="00_DOWNLOAD1"/>
      <sheetName val="GMX_0021"/>
      <sheetName val="10-1_Media1"/>
      <sheetName val="selling_prices1"/>
      <sheetName val="cash_flow_12"/>
      <sheetName val="cash_flow_22"/>
      <sheetName val="INPUT_SHEET2"/>
      <sheetName val="8974450390_CPK2"/>
      <sheetName val="ADJ_-_RATE3"/>
      <sheetName val="05MY_USA2"/>
      <sheetName val="set_date2"/>
      <sheetName val="INCOMING(Graph_)2"/>
      <sheetName val="00_DOWNLOAD2"/>
      <sheetName val="GMX_0022"/>
      <sheetName val="10-1_Media2"/>
      <sheetName val="selling_prices2"/>
      <sheetName val="cash_flow_13"/>
      <sheetName val="cash_flow_23"/>
      <sheetName val="INPUT_SHEET3"/>
      <sheetName val="8974450390_CPK3"/>
      <sheetName val="ADJ_-_RATE4"/>
      <sheetName val="05MY_USA3"/>
      <sheetName val="set_date3"/>
      <sheetName val="INCOMING(Graph_)3"/>
      <sheetName val="00_DOWNLOAD3"/>
      <sheetName val="GMX_0023"/>
      <sheetName val="10-1_Media3"/>
      <sheetName val="selling_prices3"/>
      <sheetName val="cash_flow_14"/>
      <sheetName val="cash_flow_24"/>
      <sheetName val="INPUT_SHEET4"/>
      <sheetName val="8974450390_CPK4"/>
      <sheetName val="ADJ_-_RATE5"/>
      <sheetName val="05MY_USA4"/>
      <sheetName val="set_date4"/>
      <sheetName val="INCOMING(Graph_)4"/>
      <sheetName val="00_DOWNLOAD4"/>
      <sheetName val="GMX_0024"/>
      <sheetName val="10-1_Media4"/>
      <sheetName val="selling_prices4"/>
      <sheetName val="cash_flow_15"/>
      <sheetName val="cash_flow_25"/>
      <sheetName val="INPUT_SHEET5"/>
      <sheetName val="8974450390_CPK5"/>
      <sheetName val="ADJ_-_RATE6"/>
      <sheetName val="05MY_USA5"/>
      <sheetName val="set_date5"/>
      <sheetName val="INCOMING(Graph_)5"/>
      <sheetName val="00_DOWNLOAD5"/>
      <sheetName val="GMX_0025"/>
      <sheetName val="10-1_Media5"/>
      <sheetName val="selling_prices5"/>
      <sheetName val="cash_flow_16"/>
      <sheetName val="cash_flow_26"/>
      <sheetName val="INPUT_SHEET6"/>
      <sheetName val="8974450390_CPK6"/>
      <sheetName val="ADJ_-_RATE7"/>
      <sheetName val="05MY_USA6"/>
      <sheetName val="set_date6"/>
      <sheetName val="INCOMING(Graph_)6"/>
      <sheetName val="00_DOWNLOAD6"/>
      <sheetName val="GMX_0026"/>
      <sheetName val="10-1_Media6"/>
      <sheetName val="selling_prices6"/>
      <sheetName val="_Sale_Order_-N9"/>
      <sheetName val="DATA_BASE9"/>
      <sheetName val="cash_flow_17"/>
      <sheetName val="cash_flow_27"/>
      <sheetName val="INPUT_SHEET7"/>
      <sheetName val="8974450390_CPK7"/>
      <sheetName val="ADJ_-_RATE8"/>
      <sheetName val="05MY_USA7"/>
      <sheetName val="set_date7"/>
      <sheetName val="INCOMING(Graph_)7"/>
      <sheetName val="00_DOWNLOAD7"/>
      <sheetName val="GMX_0027"/>
      <sheetName val="10-1_Media7"/>
      <sheetName val="selling_prices7"/>
      <sheetName val="IMCT_BODY10"/>
      <sheetName val="COST_O_K_13"/>
      <sheetName val="MPL_技連11"/>
      <sheetName val="342A_Block11"/>
      <sheetName val="New_DYNA10"/>
      <sheetName val="SUM_DLV10"/>
      <sheetName val="_Sale_Order_-N10"/>
      <sheetName val="DATA_BASE10"/>
      <sheetName val="Balance_Sheet10"/>
      <sheetName val="ワースト部品ハンドワーク_0911"/>
      <sheetName val="DATA_F210"/>
      <sheetName val="cash_flow_18"/>
      <sheetName val="cash_flow_28"/>
      <sheetName val="INPUT_SHEET8"/>
      <sheetName val="8974450390_CPK8"/>
      <sheetName val="ADJ_-_RATE9"/>
      <sheetName val="05MY_USA8"/>
      <sheetName val="set_date8"/>
      <sheetName val="INCOMING(Graph_)8"/>
      <sheetName val="00_DOWNLOAD8"/>
      <sheetName val="GMX_0028"/>
      <sheetName val="10-1_Media8"/>
      <sheetName val="selling_prices8"/>
      <sheetName val="GLOBAL_SALES__MARCH_2002"/>
      <sheetName val="DEC_98"/>
      <sheetName val="Takt_(_assy_)"/>
      <sheetName val="Coversheet and KPIs"/>
      <sheetName val="Data bekido"/>
      <sheetName val="ข้อมูล Present"/>
      <sheetName val="ﾃﾞ-ﾀ"/>
      <sheetName val="Coversheet_and_KPIs"/>
      <sheetName val="첨부2"/>
      <sheetName val="협조전"/>
      <sheetName val="대외공문"/>
      <sheetName val="2.대외공문"/>
      <sheetName val="경쟁실분"/>
      <sheetName val="그패프"/>
      <sheetName val="PP_Letter 389N"/>
      <sheetName val="HYO"/>
      <sheetName val="DatadiskEE0304FULLDATAVERSION"/>
      <sheetName val="Annual Production"/>
      <sheetName val="check 5"/>
      <sheetName val="Eng-NonEng"/>
      <sheetName val="DATA BASIC"/>
      <sheetName val="Monthly"/>
      <sheetName val="Weekly"/>
      <sheetName val="COST_O_K_15"/>
      <sheetName val="IMCT_BODY12"/>
      <sheetName val="MPL_技連13"/>
      <sheetName val="342A_Block13"/>
      <sheetName val="New_DYNA12"/>
      <sheetName val="SUM_DLV12"/>
      <sheetName val="_Sale_Order_-N12"/>
      <sheetName val="DATA_BASE12"/>
      <sheetName val="Balance_Sheet12"/>
      <sheetName val="ワースト部品ハンドワーク_0913"/>
      <sheetName val="DATA_F212"/>
      <sheetName val="cash_flow_110"/>
      <sheetName val="cash_flow_210"/>
      <sheetName val="05MY_USA10"/>
      <sheetName val="00_DOWNLOAD10"/>
      <sheetName val="INPUT_SHEET10"/>
      <sheetName val="8974450390_CPK10"/>
      <sheetName val="ADJ_-_RATE11"/>
      <sheetName val="set_date10"/>
      <sheetName val="INCOMING(Graph_)10"/>
      <sheetName val="GMX_00210"/>
      <sheetName val="10-1_Media10"/>
      <sheetName val="selling_prices10"/>
      <sheetName val="Takt_(_assy_)2"/>
      <sheetName val="GLOBAL_SALES__MARCH_20022"/>
      <sheetName val="Coversheet_and_KPIs2"/>
      <sheetName val="DEC_982"/>
      <sheetName val="Data_bekido1"/>
      <sheetName val="ข้อมูล_Present1"/>
      <sheetName val="COST_O_K_14"/>
      <sheetName val="IMCT_BODY11"/>
      <sheetName val="MPL_技連12"/>
      <sheetName val="342A_Block12"/>
      <sheetName val="New_DYNA11"/>
      <sheetName val="SUM_DLV11"/>
      <sheetName val="_Sale_Order_-N11"/>
      <sheetName val="DATA_BASE11"/>
      <sheetName val="Balance_Sheet11"/>
      <sheetName val="ワースト部品ハンドワーク_0912"/>
      <sheetName val="DATA_F211"/>
      <sheetName val="cash_flow_19"/>
      <sheetName val="cash_flow_29"/>
      <sheetName val="INPUT_SHEET9"/>
      <sheetName val="05MY_USA9"/>
      <sheetName val="00_DOWNLOAD9"/>
      <sheetName val="8974450390_CPK9"/>
      <sheetName val="ADJ_-_RATE10"/>
      <sheetName val="set_date9"/>
      <sheetName val="INCOMING(Graph_)9"/>
      <sheetName val="GMX_0029"/>
      <sheetName val="10-1_Media9"/>
      <sheetName val="selling_prices9"/>
      <sheetName val="Takt_(_assy_)1"/>
      <sheetName val="GLOBAL_SALES__MARCH_20021"/>
      <sheetName val="Coversheet_and_KPIs1"/>
      <sheetName val="DEC_981"/>
      <sheetName val="Data_bekido"/>
      <sheetName val="ข้อมูล_Present"/>
      <sheetName val="COST_O_K_16"/>
      <sheetName val="IMCT_BODY13"/>
      <sheetName val="MPL_技連14"/>
      <sheetName val="342A_Block14"/>
      <sheetName val="New_DYNA13"/>
      <sheetName val="SUM_DLV13"/>
      <sheetName val="_Sale_Order_-N13"/>
      <sheetName val="DATA_BASE13"/>
      <sheetName val="Balance_Sheet13"/>
      <sheetName val="ワースト部品ハンドワーク_0914"/>
      <sheetName val="DATA_F213"/>
      <sheetName val="cash_flow_111"/>
      <sheetName val="cash_flow_211"/>
      <sheetName val="05MY_USA11"/>
      <sheetName val="00_DOWNLOAD11"/>
      <sheetName val="INPUT_SHEET11"/>
      <sheetName val="8974450390_CPK11"/>
      <sheetName val="ADJ_-_RATE12"/>
      <sheetName val="set_date11"/>
      <sheetName val="INCOMING(Graph_)11"/>
      <sheetName val="GMX_00211"/>
      <sheetName val="10-1_Media11"/>
      <sheetName val="selling_prices11"/>
      <sheetName val="Takt_(_assy_)3"/>
      <sheetName val="GLOBAL_SALES__MARCH_20023"/>
      <sheetName val="Coversheet_and_KPIs3"/>
      <sheetName val="DEC_983"/>
      <sheetName val="Data_bekido2"/>
      <sheetName val="ข้อมูล_Present2"/>
      <sheetName val="③F-List"/>
      <sheetName val="major"/>
      <sheetName val="FN8"/>
      <sheetName val="Union"/>
      <sheetName val="光輝材"/>
      <sheetName val="11"/>
      <sheetName val="商品力向上"/>
      <sheetName val="mc&amp;다변화"/>
      <sheetName val="附件2.零件材料验证ADV计划"/>
      <sheetName val="full (2)"/>
      <sheetName val="Time_Measurement"/>
      <sheetName val="NEWSETTER"/>
      <sheetName val="SHAVER"/>
      <sheetName val="비교원RD-S"/>
      <sheetName val="MMC"/>
      <sheetName val="626TD(COLOR)"/>
      <sheetName val="SUM14ZC1"/>
      <sheetName val="00年9月"/>
      <sheetName val="(原単位)"/>
      <sheetName val="1-C,D"/>
      <sheetName val="ﾏｸﾛ説明"/>
      <sheetName val="ROYALTY(RUNG)"/>
      <sheetName val="Feuil1"/>
      <sheetName val="Datasheet from R. Hinds"/>
      <sheetName val="2_대외공문"/>
      <sheetName val="PP_Letter_389N"/>
      <sheetName val="Annual_Production"/>
      <sheetName val="2_대외공문1"/>
      <sheetName val="PP_Letter_389N1"/>
      <sheetName val="Annual_Production1"/>
      <sheetName val="Datasheet_from_R__Hinds"/>
      <sheetName val="CE MT"/>
      <sheetName val="Income Statement"/>
      <sheetName val="DONVIBAN"/>
      <sheetName val="NGUON"/>
      <sheetName val="Model Years"/>
      <sheetName val="QCﾃﾞｰﾀ"/>
      <sheetName val="FG"/>
      <sheetName val="RACK (CB)new"/>
      <sheetName val="MATERIAL_REQUEST_SHEET"/>
      <sheetName val="ขนาด_1ต่อ1"/>
      <sheetName val="ขนาด_1ต่อ2"/>
      <sheetName val="09-08-2019"/>
      <sheetName val="INT"/>
      <sheetName val="CHANGE_HISTORY"/>
      <sheetName val="MATERIAL REQUEST SHEET"/>
      <sheetName val="ขนาด 1ต่อ1"/>
      <sheetName val="ขนาด 1ต่อ2"/>
      <sheetName val="CHANGE HISTORY"/>
      <sheetName val="Karyawan"/>
      <sheetName val="TIRE読み替え表"/>
      <sheetName val="リース台帳"/>
      <sheetName val="D &amp; W sizes"/>
      <sheetName val="PP_Letter_389N2"/>
      <sheetName val="名簿ﾃﾞｰﾀ"/>
      <sheetName val="??B"/>
      <sheetName val="Config"/>
      <sheetName val="check_5"/>
      <sheetName val="COST_O_K_17"/>
      <sheetName val="MPL_技連15"/>
      <sheetName val="342A_Block15"/>
      <sheetName val="IMCT_BODY14"/>
      <sheetName val="New_DYNA14"/>
      <sheetName val="SUM_DLV14"/>
      <sheetName val="ワースト部品ハンドワーク_0915"/>
      <sheetName val="Balance_Sheet14"/>
      <sheetName val="_Sale_Order_-N14"/>
      <sheetName val="DATA_BASE14"/>
      <sheetName val="DATA_F214"/>
      <sheetName val="cash_flow_112"/>
      <sheetName val="cash_flow_212"/>
      <sheetName val="INPUT_SHEET12"/>
      <sheetName val="8974450390_CPK12"/>
      <sheetName val="ADJ_-_RATE13"/>
      <sheetName val="Takt_(_assy_)4"/>
      <sheetName val="05MY_USA12"/>
      <sheetName val="set_date12"/>
      <sheetName val="INCOMING(Graph_)12"/>
      <sheetName val="00_DOWNLOAD12"/>
      <sheetName val="GMX_00212"/>
      <sheetName val="10-1_Media12"/>
      <sheetName val="selling_prices12"/>
      <sheetName val="GLOBAL_SALES__MARCH_20024"/>
      <sheetName val="DEC_984"/>
      <sheetName val="Data_bekido3"/>
      <sheetName val="ข้อมูล_Present3"/>
      <sheetName val="check_51"/>
      <sheetName val="Purchase Order"/>
      <sheetName val="Customize Your Purchase Order"/>
      <sheetName val="Dynamic Ranges"/>
      <sheetName val="Dynamic_Ranges"/>
      <sheetName val="1"/>
      <sheetName val="2"/>
      <sheetName val="Lookup Table"/>
      <sheetName val="2_대외공문2"/>
      <sheetName val="Coversheet_and_KPIs4"/>
      <sheetName val="2_대외공문3"/>
      <sheetName val="COST_O_K_18"/>
      <sheetName val="MPL_技連16"/>
      <sheetName val="342A_Block16"/>
      <sheetName val="IMCT_BODY15"/>
      <sheetName val="New_DYNA15"/>
      <sheetName val="ワースト部品ハンドワーク_0916"/>
      <sheetName val="SUM_DLV15"/>
      <sheetName val="Balance_Sheet15"/>
      <sheetName val="_Sale_Order_-N15"/>
      <sheetName val="DATA_BASE15"/>
      <sheetName val="DATA_F215"/>
      <sheetName val="cash_flow_113"/>
      <sheetName val="cash_flow_213"/>
      <sheetName val="INPUT_SHEET13"/>
      <sheetName val="8974450390_CPK13"/>
      <sheetName val="ADJ_-_RATE14"/>
      <sheetName val="05MY_USA13"/>
      <sheetName val="set_date13"/>
      <sheetName val="INCOMING(Graph_)13"/>
      <sheetName val="00_DOWNLOAD13"/>
      <sheetName val="GMX_00213"/>
      <sheetName val="10-1_Media13"/>
      <sheetName val="selling_prices13"/>
      <sheetName val="GLOBAL_SALES__MARCH_20025"/>
      <sheetName val="DEC_985"/>
      <sheetName val="Takt_(_assy_)5"/>
      <sheetName val="Data_bekido4"/>
      <sheetName val="ข้อมูล_Present4"/>
      <sheetName val="Coversheet_and_KPIs5"/>
      <sheetName val="2_대외공문4"/>
      <sheetName val="Annual_Production2"/>
      <sheetName val="직원신상"/>
      <sheetName val="DBL LPG시험"/>
      <sheetName val="BUS제원1"/>
      <sheetName val="HCCE01"/>
      <sheetName val="MOTO"/>
      <sheetName val="Sheet5"/>
      <sheetName val="Sheet6 (3)"/>
      <sheetName val="CUSTOMER"/>
      <sheetName val="gvl"/>
      <sheetName val="MAIN"/>
      <sheetName val="Parts"/>
      <sheetName val="COST_O_K_24"/>
      <sheetName val="MPL_技連22"/>
      <sheetName val="342A_Block22"/>
      <sheetName val="IMCT_BODY21"/>
      <sheetName val="New_DYNA21"/>
      <sheetName val="ワースト部品ハンドワーク_0922"/>
      <sheetName val="SUM_DLV21"/>
      <sheetName val="Balance_Sheet21"/>
      <sheetName val="_Sale_Order_-N21"/>
      <sheetName val="DATA_BASE21"/>
      <sheetName val="DATA_F221"/>
      <sheetName val="cash_flow_119"/>
      <sheetName val="cash_flow_219"/>
      <sheetName val="INPUT_SHEET19"/>
      <sheetName val="8974450390_CPK19"/>
      <sheetName val="ADJ_-_RATE20"/>
      <sheetName val="05MY_USA19"/>
      <sheetName val="set_date19"/>
      <sheetName val="INCOMING(Graph_)19"/>
      <sheetName val="00_DOWNLOAD19"/>
      <sheetName val="GMX_00219"/>
      <sheetName val="10-1_Media19"/>
      <sheetName val="selling_prices19"/>
      <sheetName val="GLOBAL_SALES__MARCH_200211"/>
      <sheetName val="DEC_9811"/>
      <sheetName val="Takt_(_assy_)11"/>
      <sheetName val="Data_bekido10"/>
      <sheetName val="ข้อมูล_Present10"/>
      <sheetName val="Coversheet_and_KPIs11"/>
      <sheetName val="2_대외공문10"/>
      <sheetName val="PP_Letter_389N8"/>
      <sheetName val="Annual_Production8"/>
      <sheetName val="COST_O_K_19"/>
      <sheetName val="MPL_技連17"/>
      <sheetName val="342A_Block17"/>
      <sheetName val="IMCT_BODY16"/>
      <sheetName val="New_DYNA16"/>
      <sheetName val="ワースト部品ハンドワーク_0917"/>
      <sheetName val="SUM_DLV16"/>
      <sheetName val="Balance_Sheet16"/>
      <sheetName val="_Sale_Order_-N16"/>
      <sheetName val="DATA_BASE16"/>
      <sheetName val="DATA_F216"/>
      <sheetName val="cash_flow_114"/>
      <sheetName val="cash_flow_214"/>
      <sheetName val="INPUT_SHEET14"/>
      <sheetName val="8974450390_CPK14"/>
      <sheetName val="ADJ_-_RATE15"/>
      <sheetName val="05MY_USA14"/>
      <sheetName val="set_date14"/>
      <sheetName val="INCOMING(Graph_)14"/>
      <sheetName val="00_DOWNLOAD14"/>
      <sheetName val="GMX_00214"/>
      <sheetName val="10-1_Media14"/>
      <sheetName val="selling_prices14"/>
      <sheetName val="GLOBAL_SALES__MARCH_20026"/>
      <sheetName val="DEC_986"/>
      <sheetName val="Takt_(_assy_)6"/>
      <sheetName val="Data_bekido5"/>
      <sheetName val="ข้อมูล_Present5"/>
      <sheetName val="Coversheet_and_KPIs6"/>
      <sheetName val="2_대외공문5"/>
      <sheetName val="PP_Letter_389N3"/>
      <sheetName val="Annual_Production3"/>
      <sheetName val="COST_O_K_20"/>
      <sheetName val="MPL_技連18"/>
      <sheetName val="342A_Block18"/>
      <sheetName val="IMCT_BODY17"/>
      <sheetName val="New_DYNA17"/>
      <sheetName val="ワースト部品ハンドワーク_0918"/>
      <sheetName val="SUM_DLV17"/>
      <sheetName val="Balance_Sheet17"/>
      <sheetName val="_Sale_Order_-N17"/>
      <sheetName val="DATA_BASE17"/>
      <sheetName val="DATA_F217"/>
      <sheetName val="cash_flow_115"/>
      <sheetName val="cash_flow_215"/>
      <sheetName val="INPUT_SHEET15"/>
      <sheetName val="8974450390_CPK15"/>
      <sheetName val="ADJ_-_RATE16"/>
      <sheetName val="05MY_USA15"/>
      <sheetName val="set_date15"/>
      <sheetName val="INCOMING(Graph_)15"/>
      <sheetName val="00_DOWNLOAD15"/>
      <sheetName val="GMX_00215"/>
      <sheetName val="10-1_Media15"/>
      <sheetName val="selling_prices15"/>
      <sheetName val="GLOBAL_SALES__MARCH_20027"/>
      <sheetName val="DEC_987"/>
      <sheetName val="Takt_(_assy_)7"/>
      <sheetName val="Data_bekido6"/>
      <sheetName val="ข้อมูล_Present6"/>
      <sheetName val="Coversheet_and_KPIs7"/>
      <sheetName val="2_대외공문6"/>
      <sheetName val="PP_Letter_389N4"/>
      <sheetName val="Annual_Production4"/>
      <sheetName val="COST_O_K_21"/>
      <sheetName val="MPL_技連19"/>
      <sheetName val="342A_Block19"/>
      <sheetName val="IMCT_BODY18"/>
      <sheetName val="New_DYNA18"/>
      <sheetName val="ワースト部品ハンドワーク_0919"/>
      <sheetName val="SUM_DLV18"/>
      <sheetName val="Balance_Sheet18"/>
      <sheetName val="_Sale_Order_-N18"/>
      <sheetName val="DATA_BASE18"/>
      <sheetName val="DATA_F218"/>
      <sheetName val="cash_flow_116"/>
      <sheetName val="cash_flow_216"/>
      <sheetName val="INPUT_SHEET16"/>
      <sheetName val="8974450390_CPK16"/>
      <sheetName val="ADJ_-_RATE17"/>
      <sheetName val="05MY_USA16"/>
      <sheetName val="set_date16"/>
      <sheetName val="INCOMING(Graph_)16"/>
      <sheetName val="00_DOWNLOAD16"/>
      <sheetName val="GMX_00216"/>
      <sheetName val="10-1_Media16"/>
      <sheetName val="selling_prices16"/>
      <sheetName val="GLOBAL_SALES__MARCH_20028"/>
      <sheetName val="DEC_988"/>
      <sheetName val="Takt_(_assy_)8"/>
      <sheetName val="Data_bekido7"/>
      <sheetName val="ข้อมูล_Present7"/>
      <sheetName val="Coversheet_and_KPIs8"/>
      <sheetName val="2_대외공문7"/>
      <sheetName val="PP_Letter_389N5"/>
      <sheetName val="Annual_Production5"/>
      <sheetName val="COST_O_K_22"/>
      <sheetName val="MPL_技連20"/>
      <sheetName val="342A_Block20"/>
      <sheetName val="IMCT_BODY19"/>
      <sheetName val="New_DYNA19"/>
      <sheetName val="ワースト部品ハンドワーク_0920"/>
      <sheetName val="SUM_DLV19"/>
      <sheetName val="Balance_Sheet19"/>
      <sheetName val="_Sale_Order_-N19"/>
      <sheetName val="DATA_BASE19"/>
      <sheetName val="DATA_F219"/>
      <sheetName val="cash_flow_117"/>
      <sheetName val="cash_flow_217"/>
      <sheetName val="INPUT_SHEET17"/>
      <sheetName val="8974450390_CPK17"/>
      <sheetName val="ADJ_-_RATE18"/>
      <sheetName val="05MY_USA17"/>
      <sheetName val="set_date17"/>
      <sheetName val="INCOMING(Graph_)17"/>
      <sheetName val="00_DOWNLOAD17"/>
      <sheetName val="GMX_00217"/>
      <sheetName val="10-1_Media17"/>
      <sheetName val="selling_prices17"/>
      <sheetName val="GLOBAL_SALES__MARCH_20029"/>
      <sheetName val="DEC_989"/>
      <sheetName val="Takt_(_assy_)9"/>
      <sheetName val="Data_bekido8"/>
      <sheetName val="ข้อมูล_Present8"/>
      <sheetName val="Coversheet_and_KPIs9"/>
      <sheetName val="2_대외공문8"/>
      <sheetName val="PP_Letter_389N6"/>
      <sheetName val="Annual_Production6"/>
      <sheetName val="COST_O_K_23"/>
      <sheetName val="MPL_技連21"/>
      <sheetName val="342A_Block21"/>
      <sheetName val="IMCT_BODY20"/>
      <sheetName val="New_DYNA20"/>
      <sheetName val="ワースト部品ハンドワーク_0921"/>
      <sheetName val="SUM_DLV20"/>
      <sheetName val="Balance_Sheet20"/>
      <sheetName val="_Sale_Order_-N20"/>
      <sheetName val="DATA_BASE20"/>
      <sheetName val="DATA_F220"/>
      <sheetName val="cash_flow_118"/>
      <sheetName val="cash_flow_218"/>
      <sheetName val="INPUT_SHEET18"/>
      <sheetName val="8974450390_CPK18"/>
      <sheetName val="ADJ_-_RATE19"/>
      <sheetName val="05MY_USA18"/>
      <sheetName val="set_date18"/>
      <sheetName val="INCOMING(Graph_)18"/>
      <sheetName val="00_DOWNLOAD18"/>
      <sheetName val="GMX_00218"/>
      <sheetName val="10-1_Media18"/>
      <sheetName val="selling_prices18"/>
      <sheetName val="GLOBAL_SALES__MARCH_200210"/>
      <sheetName val="DEC_9810"/>
      <sheetName val="Takt_(_assy_)10"/>
      <sheetName val="Data_bekido9"/>
      <sheetName val="ข้อมูล_Present9"/>
      <sheetName val="Coversheet_and_KPIs10"/>
      <sheetName val="2_대외공문9"/>
      <sheetName val="PP_Letter_389N7"/>
      <sheetName val="Annual_Production7"/>
      <sheetName val="COST_O_K_26"/>
      <sheetName val="MPL_技連24"/>
      <sheetName val="342A_Block24"/>
      <sheetName val="IMCT_BODY23"/>
      <sheetName val="New_DYNA23"/>
      <sheetName val="ワースト部品ハンドワーク_0924"/>
      <sheetName val="SUM_DLV23"/>
      <sheetName val="Balance_Sheet23"/>
      <sheetName val="_Sale_Order_-N23"/>
      <sheetName val="DATA_BASE23"/>
      <sheetName val="DATA_F223"/>
      <sheetName val="cash_flow_121"/>
      <sheetName val="cash_flow_221"/>
      <sheetName val="INPUT_SHEET21"/>
      <sheetName val="8974450390_CPK21"/>
      <sheetName val="ADJ_-_RATE22"/>
      <sheetName val="05MY_USA21"/>
      <sheetName val="set_date21"/>
      <sheetName val="INCOMING(Graph_)21"/>
      <sheetName val="00_DOWNLOAD21"/>
      <sheetName val="GMX_00221"/>
      <sheetName val="10-1_Media21"/>
      <sheetName val="selling_prices21"/>
      <sheetName val="GLOBAL_SALES__MARCH_200213"/>
      <sheetName val="DEC_9813"/>
      <sheetName val="Takt_(_assy_)13"/>
      <sheetName val="Data_bekido12"/>
      <sheetName val="ข้อมูล_Present12"/>
      <sheetName val="Coversheet_and_KPIs13"/>
      <sheetName val="2_대외공문12"/>
      <sheetName val="PP_Letter_389N10"/>
      <sheetName val="Annual_Production10"/>
      <sheetName val="COST_O_K_25"/>
      <sheetName val="MPL_技連23"/>
      <sheetName val="342A_Block23"/>
      <sheetName val="IMCT_BODY22"/>
      <sheetName val="New_DYNA22"/>
      <sheetName val="ワースト部品ハンドワーク_0923"/>
      <sheetName val="SUM_DLV22"/>
      <sheetName val="Balance_Sheet22"/>
      <sheetName val="_Sale_Order_-N22"/>
      <sheetName val="DATA_BASE22"/>
      <sheetName val="DATA_F222"/>
      <sheetName val="cash_flow_120"/>
      <sheetName val="cash_flow_220"/>
      <sheetName val="INPUT_SHEET20"/>
      <sheetName val="8974450390_CPK20"/>
      <sheetName val="ADJ_-_RATE21"/>
      <sheetName val="05MY_USA20"/>
      <sheetName val="set_date20"/>
      <sheetName val="INCOMING(Graph_)20"/>
      <sheetName val="00_DOWNLOAD20"/>
      <sheetName val="GMX_00220"/>
      <sheetName val="10-1_Media20"/>
      <sheetName val="selling_prices20"/>
      <sheetName val="GLOBAL_SALES__MARCH_200212"/>
      <sheetName val="DEC_9812"/>
      <sheetName val="Takt_(_assy_)12"/>
      <sheetName val="Data_bekido11"/>
      <sheetName val="ข้อมูล_Present11"/>
      <sheetName val="Coversheet_and_KPIs12"/>
      <sheetName val="2_대외공문11"/>
      <sheetName val="PP_Letter_389N9"/>
      <sheetName val="Annual_Production9"/>
      <sheetName val="ﾌﾟﾛﾄ_P772分解5号機"/>
      <sheetName val="check_52"/>
      <sheetName val="PROFILE"/>
      <sheetName val="progress_b_total_p"/>
      <sheetName val="FR-QA-059-00"/>
      <sheetName val="check_53"/>
      <sheetName val="DATA_BASIC"/>
      <sheetName val="Datasheet_from_R__Hinds1"/>
      <sheetName val="CE_MT"/>
      <sheetName val="RACK_(CB)new"/>
      <sheetName val="check_54"/>
      <sheetName val="DATA_BASIC1"/>
      <sheetName val="Datasheet_from_R__Hinds2"/>
      <sheetName val="CE_MT1"/>
      <sheetName val="RACK_(CB)new1"/>
      <sheetName val="附件2_零件材料验证ADV计划"/>
      <sheetName val="full_(2)"/>
      <sheetName val="Model_Years"/>
      <sheetName val="check_55"/>
      <sheetName val="DATA_BASIC2"/>
      <sheetName val="Datasheet_from_R__Hinds3"/>
      <sheetName val="CE_MT2"/>
      <sheetName val="RACK_(CB)new2"/>
      <sheetName val="附件2_零件材料验证ADV计划1"/>
      <sheetName val="full_(2)1"/>
      <sheetName val="Model_Years1"/>
      <sheetName val="Customize Your Loan Manager"/>
      <sheetName val="check_56"/>
      <sheetName val="DATA_BASIC3"/>
      <sheetName val="Datasheet_from_R__Hinds4"/>
      <sheetName val="CE_MT3"/>
      <sheetName val="RACK_(CB)new3"/>
      <sheetName val="附件2_零件材料验证ADV计划2"/>
      <sheetName val="full_(2)2"/>
      <sheetName val="Model_Years2"/>
      <sheetName val="2(1.3) "/>
      <sheetName val="2(1.2)  "/>
    </sheetNames>
    <sheetDataSet>
      <sheetData sheetId="0">
        <row r="1">
          <cell r="I1">
            <v>0</v>
          </cell>
          <cell r="J1">
            <v>0</v>
          </cell>
          <cell r="N1" t="str">
            <v xml:space="preserve">   DAIDO MANUFACTURING (THAILAND) CO.,LTD.</v>
          </cell>
          <cell r="P1">
            <v>0</v>
          </cell>
        </row>
        <row r="2">
          <cell r="I2">
            <v>0</v>
          </cell>
          <cell r="J2">
            <v>0</v>
          </cell>
          <cell r="N2">
            <v>0</v>
          </cell>
          <cell r="P2">
            <v>0</v>
          </cell>
        </row>
        <row r="3">
          <cell r="I3">
            <v>0</v>
          </cell>
          <cell r="J3">
            <v>0</v>
          </cell>
          <cell r="N3">
            <v>0</v>
          </cell>
          <cell r="P3" t="str">
            <v>Nov</v>
          </cell>
        </row>
        <row r="4">
          <cell r="I4" t="str">
            <v>DRW RCV PLAN</v>
          </cell>
          <cell r="J4" t="str">
            <v>DRW RCVD</v>
          </cell>
          <cell r="N4" t="str">
            <v>M/SCHDL</v>
          </cell>
          <cell r="P4" t="str">
            <v>SAMPLE RCV PL</v>
          </cell>
        </row>
        <row r="5">
          <cell r="I5">
            <v>35961</v>
          </cell>
          <cell r="J5">
            <v>36094</v>
          </cell>
          <cell r="N5">
            <v>0</v>
          </cell>
          <cell r="P5" t="str">
            <v>C</v>
          </cell>
        </row>
        <row r="6">
          <cell r="I6">
            <v>35961</v>
          </cell>
          <cell r="J6">
            <v>36094</v>
          </cell>
          <cell r="N6">
            <v>36101</v>
          </cell>
          <cell r="P6">
            <v>36175</v>
          </cell>
        </row>
        <row r="7">
          <cell r="I7">
            <v>35961</v>
          </cell>
          <cell r="J7">
            <v>36094</v>
          </cell>
          <cell r="N7">
            <v>36101</v>
          </cell>
          <cell r="P7">
            <v>36175</v>
          </cell>
        </row>
        <row r="8">
          <cell r="I8">
            <v>35961</v>
          </cell>
          <cell r="J8">
            <v>35990</v>
          </cell>
          <cell r="N8">
            <v>36101</v>
          </cell>
          <cell r="P8">
            <v>36175</v>
          </cell>
        </row>
        <row r="9">
          <cell r="I9">
            <v>35961</v>
          </cell>
          <cell r="J9">
            <v>35969</v>
          </cell>
          <cell r="N9">
            <v>36005</v>
          </cell>
          <cell r="P9">
            <v>36175</v>
          </cell>
        </row>
        <row r="10">
          <cell r="I10">
            <v>35961</v>
          </cell>
          <cell r="J10">
            <v>35979</v>
          </cell>
          <cell r="N10">
            <v>36005</v>
          </cell>
          <cell r="P10">
            <v>36175</v>
          </cell>
        </row>
        <row r="11">
          <cell r="I11">
            <v>35961</v>
          </cell>
          <cell r="J11">
            <v>0</v>
          </cell>
          <cell r="N11">
            <v>36041</v>
          </cell>
          <cell r="P11">
            <v>36175</v>
          </cell>
        </row>
        <row r="12">
          <cell r="I12">
            <v>35961</v>
          </cell>
          <cell r="J12">
            <v>0</v>
          </cell>
          <cell r="N12">
            <v>36041</v>
          </cell>
          <cell r="P12">
            <v>36175</v>
          </cell>
        </row>
        <row r="13">
          <cell r="I13">
            <v>35961</v>
          </cell>
          <cell r="J13">
            <v>0</v>
          </cell>
          <cell r="N13">
            <v>36041</v>
          </cell>
          <cell r="P13">
            <v>36175</v>
          </cell>
        </row>
        <row r="14">
          <cell r="I14">
            <v>35961</v>
          </cell>
          <cell r="J14">
            <v>0</v>
          </cell>
          <cell r="N14">
            <v>36041</v>
          </cell>
          <cell r="P14">
            <v>36175</v>
          </cell>
        </row>
        <row r="15">
          <cell r="I15">
            <v>35961</v>
          </cell>
          <cell r="J15">
            <v>35969</v>
          </cell>
          <cell r="N15">
            <v>35989</v>
          </cell>
          <cell r="P15">
            <v>36130</v>
          </cell>
        </row>
        <row r="16">
          <cell r="I16">
            <v>35961</v>
          </cell>
          <cell r="J16">
            <v>35979</v>
          </cell>
          <cell r="N16">
            <v>36083</v>
          </cell>
          <cell r="P16">
            <v>36180</v>
          </cell>
        </row>
        <row r="17">
          <cell r="I17">
            <v>35961</v>
          </cell>
          <cell r="J17">
            <v>35968</v>
          </cell>
          <cell r="N17">
            <v>35984</v>
          </cell>
          <cell r="P17">
            <v>36175</v>
          </cell>
        </row>
        <row r="18">
          <cell r="I18">
            <v>35961</v>
          </cell>
          <cell r="J18">
            <v>35968</v>
          </cell>
          <cell r="N18">
            <v>35984</v>
          </cell>
          <cell r="P18">
            <v>36083</v>
          </cell>
        </row>
        <row r="19">
          <cell r="I19">
            <v>35961</v>
          </cell>
          <cell r="J19">
            <v>35968</v>
          </cell>
          <cell r="N19">
            <v>35984</v>
          </cell>
          <cell r="P19">
            <v>36083</v>
          </cell>
        </row>
        <row r="20">
          <cell r="I20">
            <v>35961</v>
          </cell>
          <cell r="J20">
            <v>35968</v>
          </cell>
          <cell r="N20">
            <v>35979</v>
          </cell>
          <cell r="P20">
            <v>36083</v>
          </cell>
        </row>
        <row r="21">
          <cell r="I21">
            <v>35961</v>
          </cell>
          <cell r="J21">
            <v>36130</v>
          </cell>
          <cell r="N21">
            <v>36144</v>
          </cell>
          <cell r="P21">
            <v>36206</v>
          </cell>
        </row>
        <row r="22">
          <cell r="I22">
            <v>35961</v>
          </cell>
          <cell r="J22">
            <v>35969</v>
          </cell>
          <cell r="N22">
            <v>36114</v>
          </cell>
          <cell r="P22">
            <v>36144</v>
          </cell>
        </row>
        <row r="23">
          <cell r="I23">
            <v>35961</v>
          </cell>
          <cell r="J23">
            <v>35969</v>
          </cell>
          <cell r="N23">
            <v>35993</v>
          </cell>
          <cell r="P23">
            <v>36083</v>
          </cell>
        </row>
        <row r="24">
          <cell r="I24">
            <v>35961</v>
          </cell>
          <cell r="J24">
            <v>35969</v>
          </cell>
          <cell r="N24">
            <v>35993</v>
          </cell>
          <cell r="P24">
            <v>36083</v>
          </cell>
        </row>
        <row r="25">
          <cell r="I25">
            <v>35961</v>
          </cell>
          <cell r="J25">
            <v>35969</v>
          </cell>
          <cell r="N25">
            <v>35993</v>
          </cell>
          <cell r="P25">
            <v>36144</v>
          </cell>
        </row>
        <row r="26">
          <cell r="I26">
            <v>35961</v>
          </cell>
          <cell r="J26">
            <v>35968</v>
          </cell>
          <cell r="N26">
            <v>0</v>
          </cell>
        </row>
        <row r="27">
          <cell r="I27">
            <v>35962</v>
          </cell>
          <cell r="J27">
            <v>35969</v>
          </cell>
          <cell r="N27">
            <v>36136</v>
          </cell>
          <cell r="P27">
            <v>35810</v>
          </cell>
        </row>
        <row r="28">
          <cell r="I28">
            <v>35961</v>
          </cell>
          <cell r="J28">
            <v>35969</v>
          </cell>
          <cell r="N28">
            <v>36136</v>
          </cell>
          <cell r="P28">
            <v>36227</v>
          </cell>
        </row>
        <row r="29">
          <cell r="I29">
            <v>35961</v>
          </cell>
          <cell r="J29">
            <v>35969</v>
          </cell>
          <cell r="N29">
            <v>35996</v>
          </cell>
          <cell r="P29">
            <v>36175</v>
          </cell>
        </row>
        <row r="30">
          <cell r="I30">
            <v>35961</v>
          </cell>
          <cell r="J30">
            <v>35969</v>
          </cell>
          <cell r="N30">
            <v>35996</v>
          </cell>
          <cell r="P30">
            <v>36175</v>
          </cell>
        </row>
        <row r="31">
          <cell r="I31">
            <v>35961</v>
          </cell>
          <cell r="J31">
            <v>35969</v>
          </cell>
          <cell r="N31">
            <v>35996</v>
          </cell>
          <cell r="P31">
            <v>36175</v>
          </cell>
        </row>
        <row r="32">
          <cell r="I32">
            <v>35961</v>
          </cell>
          <cell r="J32">
            <v>35997</v>
          </cell>
          <cell r="N32">
            <v>35996</v>
          </cell>
          <cell r="P32">
            <v>36199</v>
          </cell>
        </row>
        <row r="33">
          <cell r="I33">
            <v>35961</v>
          </cell>
          <cell r="J33">
            <v>35997</v>
          </cell>
          <cell r="N33">
            <v>35996</v>
          </cell>
          <cell r="P33">
            <v>36199</v>
          </cell>
        </row>
        <row r="34">
          <cell r="I34">
            <v>35961</v>
          </cell>
          <cell r="J34">
            <v>35997</v>
          </cell>
          <cell r="N34">
            <v>35996</v>
          </cell>
          <cell r="P34">
            <v>36199</v>
          </cell>
        </row>
        <row r="35">
          <cell r="I35">
            <v>35961</v>
          </cell>
          <cell r="J35">
            <v>35968</v>
          </cell>
          <cell r="N35">
            <v>35992</v>
          </cell>
          <cell r="P35">
            <v>36154</v>
          </cell>
        </row>
        <row r="36">
          <cell r="I36">
            <v>35961</v>
          </cell>
          <cell r="J36">
            <v>36074</v>
          </cell>
          <cell r="N36">
            <v>36083</v>
          </cell>
          <cell r="P36">
            <v>35810</v>
          </cell>
        </row>
        <row r="37">
          <cell r="I37">
            <v>35961</v>
          </cell>
          <cell r="J37">
            <v>35979</v>
          </cell>
          <cell r="N37">
            <v>36068</v>
          </cell>
          <cell r="P37">
            <v>36068</v>
          </cell>
        </row>
        <row r="38">
          <cell r="I38">
            <v>35961</v>
          </cell>
          <cell r="J38">
            <v>35979</v>
          </cell>
          <cell r="N38">
            <v>36068</v>
          </cell>
          <cell r="P38">
            <v>36068</v>
          </cell>
        </row>
        <row r="39">
          <cell r="I39">
            <v>35961</v>
          </cell>
          <cell r="J39">
            <v>35979</v>
          </cell>
          <cell r="N39">
            <v>36068</v>
          </cell>
          <cell r="P39">
            <v>36068</v>
          </cell>
        </row>
        <row r="40">
          <cell r="I40">
            <v>35961</v>
          </cell>
          <cell r="J40">
            <v>36055</v>
          </cell>
          <cell r="N40">
            <v>36068</v>
          </cell>
          <cell r="P40">
            <v>36068</v>
          </cell>
        </row>
        <row r="41">
          <cell r="I41">
            <v>35988</v>
          </cell>
          <cell r="J41">
            <v>36082</v>
          </cell>
          <cell r="N41">
            <v>0</v>
          </cell>
        </row>
        <row r="42">
          <cell r="I42">
            <v>35961</v>
          </cell>
          <cell r="J42">
            <v>36174</v>
          </cell>
          <cell r="N42">
            <v>35961</v>
          </cell>
          <cell r="P42">
            <v>36190</v>
          </cell>
        </row>
        <row r="43">
          <cell r="I43">
            <v>35961</v>
          </cell>
          <cell r="J43">
            <v>36174</v>
          </cell>
          <cell r="N43">
            <v>35961</v>
          </cell>
          <cell r="P43">
            <v>36190</v>
          </cell>
        </row>
        <row r="44">
          <cell r="I44" t="str">
            <v>Date</v>
          </cell>
          <cell r="J44" t="str">
            <v>…….15…../……08……./...…2017…</v>
          </cell>
          <cell r="N44">
            <v>0</v>
          </cell>
        </row>
        <row r="45">
          <cell r="I45">
            <v>0</v>
          </cell>
          <cell r="J45">
            <v>0</v>
          </cell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51">
          <cell r="I51">
            <v>0</v>
          </cell>
          <cell r="J51">
            <v>0</v>
          </cell>
          <cell r="N5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/>
      <sheetData sheetId="811" refreshError="1"/>
      <sheetData sheetId="812" refreshError="1"/>
      <sheetData sheetId="813" refreshError="1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 refreshError="1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3(main)"/>
      <sheetName val="MC1"/>
      <sheetName val="C3_N DC改造投資"/>
      <sheetName val="NEW003"/>
      <sheetName val="00TFMC1"/>
      <sheetName val="名簿データ"/>
      <sheetName val="Sheet1"/>
      <sheetName val="Macro1old"/>
      <sheetName val="GMI-Part &amp; tooling Cost rev.0"/>
      <sheetName val="C3_N_DC改造投資"/>
      <sheetName val="GMI-Part_&amp;_tooling_Cost_rev_0"/>
      <sheetName val="200P SHEET"/>
      <sheetName val="Table"/>
      <sheetName val="00年9月"/>
      <sheetName val="計算結果"/>
      <sheetName val="NCAB"/>
      <sheetName val="【資料】730改造投資"/>
      <sheetName val="ﾍﾞﾀﾘｽﾄ"/>
      <sheetName val="Fiel List"/>
      <sheetName val="RACK (CB)new"/>
      <sheetName val="email_address"/>
      <sheetName val="添付１"/>
      <sheetName val="4"/>
      <sheetName val="車体構成"/>
      <sheetName val="PARAMETRES"/>
      <sheetName val="DefectDetails"/>
      <sheetName val="CoilspringDetails"/>
      <sheetName val="BA (6)"/>
      <sheetName val="BE (6)"/>
      <sheetName val="7_2"/>
      <sheetName val="Input Oper.Lease"/>
      <sheetName val="P_NAME_DWG"/>
      <sheetName val="資料_700部品点数設定"/>
      <sheetName val="Sheet2"/>
      <sheetName val="DATA"/>
      <sheetName val="SPCSheet"/>
      <sheetName val="Eng-NonEng"/>
      <sheetName val="MASTER"/>
      <sheetName val="使用部品一覧(原紙) (2)"/>
      <sheetName val="Order"/>
      <sheetName val="県別ﾏﾙﾁ"/>
      <sheetName val="L123"/>
      <sheetName val="2004"/>
      <sheetName val="C3_N_DC改造投資1"/>
      <sheetName val="GMI-Part_&amp;_tooling_Cost_rev_01"/>
      <sheetName val="200P_SHEET"/>
      <sheetName val="Material"/>
      <sheetName val="TABLE(LINE CODE)"/>
      <sheetName val="HS HB NE dr 1"/>
      <sheetName val="Threshold"/>
      <sheetName val="Expect Depre."/>
      <sheetName val="FA Movement YE09"/>
      <sheetName val="Stock Aging"/>
      <sheetName val="8974450390 CPK"/>
      <sheetName val="ass'y 06-11'05"/>
      <sheetName val="ass'y 06-11'05 (2)"/>
      <sheetName val="T_直取引売上データ"/>
      <sheetName val="Item Code - Machine"/>
      <sheetName val="GMIParttoolingCost"/>
      <sheetName val="TA009"/>
      <sheetName val="STart"/>
      <sheetName val="Fiel_List"/>
      <sheetName val="RACK_(CB)new"/>
      <sheetName val="C3_N_DC改造投資2"/>
      <sheetName val="GMI-Part_&amp;_tooling_Cost_rev_02"/>
      <sheetName val="200P_SHEET1"/>
      <sheetName val="Fiel_List1"/>
      <sheetName val="RACK_(CB)new1"/>
      <sheetName val="Japan Data（実）"/>
      <sheetName val="追浜（済）"/>
      <sheetName val="(sys)"/>
      <sheetName val="ディクショナリ"/>
      <sheetName val="QC APPROVE SHEET"/>
      <sheetName val="인원01"/>
      <sheetName val="TNT F&amp;A 06Budget"/>
      <sheetName val="ﾕｰｻﾞｰ設定"/>
      <sheetName val="Pln Pdt"/>
      <sheetName val="Sum 2016"/>
      <sheetName val="Sum 2015"/>
      <sheetName val="Jan-Dec'14"/>
      <sheetName val="FR管理工程図"/>
      <sheetName val="Model Price"/>
      <sheetName val="Location"/>
      <sheetName val="RT50 Part List by MKT 4-1-11"/>
      <sheetName val="มิ.ย.52"/>
      <sheetName val="CRITERIA2"/>
      <sheetName val="Macro1"/>
      <sheetName val="ELF"/>
      <sheetName val="Costing Assumptions"/>
      <sheetName val="Purchased Parts and Services"/>
      <sheetName val="sample (11)"/>
      <sheetName val="BA_(6)"/>
      <sheetName val="BE_(6)"/>
      <sheetName val="Input_Oper_Lease"/>
      <sheetName val="使用部品一覧(原紙)_(2)"/>
      <sheetName val="TABLE(LINE_CODE)"/>
      <sheetName val="C3_N_DC改造投資3"/>
      <sheetName val="C3_N_DC改造投資4"/>
      <sheetName val="C3_N_DC改造投資5"/>
      <sheetName val="GMI-Part_&amp;_tooling_Cost_rev_03"/>
      <sheetName val="200P_SHEET2"/>
      <sheetName val="Fiel_List2"/>
      <sheetName val="BA_(6)1"/>
      <sheetName val="BE_(6)1"/>
      <sheetName val="Input_Oper_Lease1"/>
      <sheetName val="使用部品一覧(原紙)_(2)1"/>
      <sheetName val="TABLE(LINE_CODE)1"/>
      <sheetName val="C3_N_DC改造投資6"/>
      <sheetName val="GMI-Part_&amp;_tooling_Cost_rev_04"/>
      <sheetName val="200P_SHEET3"/>
      <sheetName val="Fiel_List3"/>
      <sheetName val="RACK_(CB)new2"/>
      <sheetName val="BA_(6)2"/>
      <sheetName val="BE_(6)2"/>
      <sheetName val="Input_Oper_Lease2"/>
      <sheetName val="使用部品一覧(原紙)_(2)2"/>
      <sheetName val="TABLE(LINE_CODE)2"/>
      <sheetName val="C3_N_DC改造投資7"/>
      <sheetName val="GMI-Part_&amp;_tooling_Cost_rev_05"/>
      <sheetName val="200P_SHEET4"/>
      <sheetName val="Fiel_List4"/>
      <sheetName val="RACK_(CB)new3"/>
      <sheetName val="BA_(6)3"/>
      <sheetName val="BE_(6)3"/>
      <sheetName val="Input_Oper_Lease3"/>
      <sheetName val="使用部品一覧(原紙)_(2)3"/>
      <sheetName val="TABLE(LINE_CODE)3"/>
      <sheetName val="C3_N_DC改造投資11"/>
      <sheetName val="GMI-Part_&amp;_tooling_Cost_rev_09"/>
      <sheetName val="200P_SHEET8"/>
      <sheetName val="Fiel_List8"/>
      <sheetName val="RACK_(CB)new7"/>
      <sheetName val="BA_(6)7"/>
      <sheetName val="BE_(6)7"/>
      <sheetName val="Input_Oper_Lease7"/>
      <sheetName val="使用部品一覧(原紙)_(2)7"/>
      <sheetName val="TABLE(LINE_CODE)7"/>
      <sheetName val="C3_N_DC改造投資9"/>
      <sheetName val="GMI-Part_&amp;_tooling_Cost_rev_07"/>
      <sheetName val="200P_SHEET6"/>
      <sheetName val="Fiel_List6"/>
      <sheetName val="RACK_(CB)new5"/>
      <sheetName val="BA_(6)5"/>
      <sheetName val="BE_(6)5"/>
      <sheetName val="Input_Oper_Lease5"/>
      <sheetName val="使用部品一覧(原紙)_(2)5"/>
      <sheetName val="TABLE(LINE_CODE)5"/>
      <sheetName val="C3_N_DC改造投資8"/>
      <sheetName val="GMI-Part_&amp;_tooling_Cost_rev_06"/>
      <sheetName val="200P_SHEET5"/>
      <sheetName val="Fiel_List5"/>
      <sheetName val="RACK_(CB)new4"/>
      <sheetName val="BA_(6)4"/>
      <sheetName val="BE_(6)4"/>
      <sheetName val="Input_Oper_Lease4"/>
      <sheetName val="使用部品一覧(原紙)_(2)4"/>
      <sheetName val="TABLE(LINE_CODE)4"/>
      <sheetName val="C3_N_DC改造投資10"/>
      <sheetName val="GMI-Part_&amp;_tooling_Cost_rev_08"/>
      <sheetName val="200P_SHEET7"/>
      <sheetName val="Fiel_List7"/>
      <sheetName val="RACK_(CB)new6"/>
      <sheetName val="BA_(6)6"/>
      <sheetName val="BE_(6)6"/>
      <sheetName val="Input_Oper_Lease6"/>
      <sheetName val="使用部品一覧(原紙)_(2)6"/>
      <sheetName val="TABLE(LINE_CODE)6"/>
      <sheetName val="C3_N_DC改造投資12"/>
      <sheetName val="GMI-Part_&amp;_tooling_Cost_rev_010"/>
      <sheetName val="200P_SHEET9"/>
      <sheetName val="Fiel_List9"/>
      <sheetName val="RACK_(CB)new8"/>
      <sheetName val="BA_(6)8"/>
      <sheetName val="BE_(6)8"/>
      <sheetName val="Input_Oper_Lease8"/>
      <sheetName val="使用部品一覧(原紙)_(2)8"/>
      <sheetName val="TABLE(LINE_CODE)8"/>
      <sheetName val="C3_N_DC改造投資13"/>
      <sheetName val="GMI-Part_&amp;_tooling_Cost_rev_011"/>
      <sheetName val="200P_SHEET10"/>
      <sheetName val="Fiel_List10"/>
      <sheetName val="RACK_(CB)new9"/>
      <sheetName val="Input_Oper_Lease9"/>
      <sheetName val="BA_(6)9"/>
      <sheetName val="BE_(6)9"/>
      <sheetName val="TABLE(LINE_CODE)9"/>
      <sheetName val="使用部品一覧(原紙)_(2)9"/>
      <sheetName val="DATA BASE"/>
      <sheetName val="(9.30) IP"/>
      <sheetName val="MAY"/>
      <sheetName val="BOM - Engineering"/>
      <sheetName val="LIST"/>
      <sheetName val="PT1"/>
      <sheetName val="BOM_-_Engineering"/>
      <sheetName val="InternalExternal"/>
      <sheetName val="OCCURRENCE_FACTOR"/>
      <sheetName val="소유주(원)"/>
      <sheetName val="Drop List"/>
      <sheetName val="外気負荷"/>
      <sheetName val="Checking report"/>
      <sheetName val="Expect_Depre_"/>
      <sheetName val="FA_Movement_YE09"/>
      <sheetName val="Stock_Aging"/>
      <sheetName val="HS_HB_NE_dr_1"/>
      <sheetName val="Pln_Pdt"/>
      <sheetName val="8974450390_CPK"/>
      <sheetName val="ass'y_06-11'05"/>
      <sheetName val="ass'y_06-11'05_(2)"/>
      <sheetName val="calculate"/>
      <sheetName val="Capacity"/>
      <sheetName val="Process"/>
      <sheetName val="Purchase"/>
      <sheetName val="Tooling"/>
      <sheetName val="db_mat"/>
      <sheetName val="db_proc"/>
      <sheetName val="db_prod"/>
      <sheetName val="HS_HB_NE_dr_12"/>
      <sheetName val="Expect_Depre_2"/>
      <sheetName val="FA_Movement_YE092"/>
      <sheetName val="Stock_Aging2"/>
      <sheetName val="8974450390_CPK2"/>
      <sheetName val="HS_HB_NE_dr_11"/>
      <sheetName val="Expect_Depre_1"/>
      <sheetName val="FA_Movement_YE091"/>
      <sheetName val="Stock_Aging1"/>
      <sheetName val="8974450390_CPK1"/>
      <sheetName val="HS_HB_NE_dr_13"/>
      <sheetName val="Expect_Depre_3"/>
      <sheetName val="FA_Movement_YE093"/>
      <sheetName val="Stock_Aging3"/>
      <sheetName val="8974450390_CPK3"/>
      <sheetName val="HS_HB_NE_dr_14"/>
      <sheetName val="Expect_Depre_4"/>
      <sheetName val="FA_Movement_YE094"/>
      <sheetName val="Stock_Aging4"/>
      <sheetName val="8974450390_CPK4"/>
      <sheetName val="HS_HB_NE_dr_17"/>
      <sheetName val="Expect_Depre_7"/>
      <sheetName val="FA_Movement_YE097"/>
      <sheetName val="Stock_Aging7"/>
      <sheetName val="8974450390_CPK7"/>
      <sheetName val="HS_HB_NE_dr_15"/>
      <sheetName val="Expect_Depre_5"/>
      <sheetName val="FA_Movement_YE095"/>
      <sheetName val="Stock_Aging5"/>
      <sheetName val="8974450390_CPK5"/>
      <sheetName val="HS_HB_NE_dr_16"/>
      <sheetName val="Expect_Depre_6"/>
      <sheetName val="FA_Movement_YE096"/>
      <sheetName val="Stock_Aging6"/>
      <sheetName val="8974450390_CPK6"/>
      <sheetName val="HS_HB_NE_dr_18"/>
      <sheetName val="Expect_Depre_8"/>
      <sheetName val="FA_Movement_YE098"/>
      <sheetName val="Stock_Aging8"/>
      <sheetName val="8974450390_CPK8"/>
      <sheetName val="HS_HB_NE_dr_19"/>
      <sheetName val="Expect_Depre_9"/>
      <sheetName val="FA_Movement_YE099"/>
      <sheetName val="Stock_Aging9"/>
      <sheetName val="8974450390_CPK9"/>
      <sheetName val="GMI-Part_&amp;_tooling_Cost_rev_012"/>
      <sheetName val="200P_SHEET11"/>
      <sheetName val="RACK_(CB)new10"/>
      <sheetName val="BA_(6)10"/>
      <sheetName val="BE_(6)10"/>
      <sheetName val="Input_Oper_Lease10"/>
      <sheetName val="TABLE(LINE_CODE)10"/>
      <sheetName val="HS_HB_NE_dr_110"/>
      <sheetName val="使用部品一覧(原紙)_(2)10"/>
      <sheetName val="Expect_Depre_10"/>
      <sheetName val="FA_Movement_YE0910"/>
      <sheetName val="Stock_Aging10"/>
      <sheetName val="8974450390_CPK10"/>
      <sheetName val="GMI-Part_&amp;_tooling_Cost_rev_013"/>
      <sheetName val="200P_SHEET12"/>
      <sheetName val="Fiel_List11"/>
      <sheetName val="RACK_(CB)new11"/>
      <sheetName val="BA_(6)11"/>
      <sheetName val="BE_(6)11"/>
      <sheetName val="Input_Oper_Lease11"/>
      <sheetName val="TABLE(LINE_CODE)11"/>
      <sheetName val="HS_HB_NE_dr_111"/>
      <sheetName val="使用部品一覧(原紙)_(2)11"/>
      <sheetName val="Expect_Depre_11"/>
      <sheetName val="FA_Movement_YE0911"/>
      <sheetName val="Stock_Aging11"/>
      <sheetName val="8974450390_CPK11"/>
      <sheetName val="Model_Price"/>
      <sheetName val="มิ_ย_52"/>
      <sheetName val="Costing_Assumptions"/>
      <sheetName val="Purchased_Parts_and_Services"/>
      <sheetName val="sample_(11)"/>
      <sheetName val="Item_Code_-_Machine"/>
      <sheetName val="QC_APPROVE_SHEET"/>
      <sheetName val="C3_N_DC改造投資14"/>
      <sheetName val="GMI-Part_&amp;_tooling_Cost_rev_014"/>
      <sheetName val="200P_SHEET13"/>
      <sheetName val="Fiel_List12"/>
      <sheetName val="RACK_(CB)new12"/>
      <sheetName val="BA_(6)12"/>
      <sheetName val="BE_(6)12"/>
      <sheetName val="Input_Oper_Lease12"/>
      <sheetName val="TABLE(LINE_CODE)12"/>
      <sheetName val="HS_HB_NE_dr_112"/>
      <sheetName val="使用部品一覧(原紙)_(2)12"/>
      <sheetName val="Expect_Depre_12"/>
      <sheetName val="FA_Movement_YE0912"/>
      <sheetName val="Stock_Aging12"/>
      <sheetName val="8974450390_CPK12"/>
      <sheetName val="Model_Price1"/>
      <sheetName val="มิ_ย_521"/>
      <sheetName val="Costing_Assumptions1"/>
      <sheetName val="Purchased_Parts_and_Services1"/>
      <sheetName val="sample_(11)1"/>
      <sheetName val="ass'y_06-11'051"/>
      <sheetName val="ass'y_06-11'05_(2)1"/>
      <sheetName val="Item_Code_-_Machine1"/>
      <sheetName val="QC_APPROVE_SHEET1"/>
      <sheetName val="ass'y 12'04-05'05"/>
      <sheetName val="ﾏﾙC改造投資詳細"/>
      <sheetName val="TNT_F&amp;A_06Budget"/>
      <sheetName val="CRITERIA1"/>
      <sheetName val="CRITERIA3"/>
      <sheetName val="JIG"/>
      <sheetName val="PM-TE"/>
      <sheetName val="popa"/>
      <sheetName val="MOTO"/>
      <sheetName val="Schedul ISUZU March-2013"/>
      <sheetName val="クライテリア"/>
      <sheetName val="G Van - Price Build up"/>
      <sheetName val="recived"/>
      <sheetName val="Vol"/>
      <sheetName val="Stabilizer_P"/>
      <sheetName val="Stabilizer_S"/>
      <sheetName val="SHARP"/>
      <sheetName val="ENG油洩れ"/>
      <sheetName val="FREQ"/>
      <sheetName val="マクロバランス表"/>
      <sheetName val="TMMK Vehicle Data"/>
      <sheetName val="TMMC Vehicle Data"/>
      <sheetName val="Comparison data"/>
      <sheetName val="TCA"/>
      <sheetName val="EPW_06301"/>
      <sheetName val="COST O.K."/>
      <sheetName val="PART NAME"/>
      <sheetName val="form ( A )"/>
      <sheetName val="form ( B)"/>
      <sheetName val="Ref"/>
      <sheetName val="99年度原単位"/>
      <sheetName val="Movment"/>
      <sheetName val="SBM2 (FG.1)"/>
      <sheetName val="様式-8"/>
      <sheetName val="Pln_Pdt1"/>
      <sheetName val="Japan_Data（実）"/>
      <sheetName val="Pln_Pdt3"/>
      <sheetName val="ass'y_06-11'053"/>
      <sheetName val="ass'y_06-11'05_(2)3"/>
      <sheetName val="TNT_F&amp;A_06Budget2"/>
      <sheetName val="Item_Code_-_Machine2"/>
      <sheetName val="Japan_Data（実）2"/>
      <sheetName val="QC_APPROVE_SHEET2"/>
      <sheetName val="Pln_Pdt2"/>
      <sheetName val="ass'y_06-11'052"/>
      <sheetName val="ass'y_06-11'05_(2)2"/>
      <sheetName val="TNT_F&amp;A_06Budget1"/>
      <sheetName val="Japan_Data（実）1"/>
      <sheetName val="回収率"/>
      <sheetName val="BOM_-_Engineering1"/>
      <sheetName val="BOM_-_Engineering2"/>
      <sheetName val="BOM_-_Engineering3"/>
      <sheetName val="Lista Usterek"/>
      <sheetName val="Drop Down"/>
      <sheetName val="2"/>
      <sheetName val="96期(川崎)"/>
      <sheetName val="pv6 3.5l lx5 gmx170"/>
      <sheetName val="ﾀﾘﾌ"/>
      <sheetName val="MC&amp;다변화"/>
      <sheetName val="選択肢"/>
      <sheetName val="Fagor04-A3112e"/>
      <sheetName val="8月内示"/>
      <sheetName val="GRACE"/>
      <sheetName val="진행 data (2)"/>
      <sheetName val="Costed BOM 2ndR 40%"/>
      <sheetName val="TRCW見積り詳細"/>
      <sheetName val="มีนาคม"/>
      <sheetName val="094W原紙 "/>
      <sheetName val="p2-1"/>
      <sheetName val="DIEZEL動弁相場"/>
      <sheetName val="#ofclose .xl"/>
      <sheetName val="FW_STEXCEL"/>
      <sheetName val="Sum_2016"/>
      <sheetName val="Sum_2015"/>
      <sheetName val="Checking_report"/>
      <sheetName val="Drop_List"/>
      <sheetName val="RT50_Part_List_by_MKT_4-1-11"/>
      <sheetName val="DATA_BASE"/>
      <sheetName val="(9_30)_IP"/>
      <sheetName val="SCB 1 - Current"/>
      <sheetName val="SCB 2 - Current"/>
      <sheetName val="Header"/>
      <sheetName val="Base MDL_08CR to 09CR"/>
      <sheetName val="OPT4WD"/>
      <sheetName val="ｹｰｽﾏｰｸ"/>
      <sheetName val="REVENUE"/>
      <sheetName val="Menu"/>
      <sheetName val="UNIDADESHS02MY"/>
      <sheetName val="Summary"/>
      <sheetName val="MAZDA"/>
      <sheetName val="C3_N_DC改造投資15"/>
      <sheetName val="GMI-Part_&amp;_tooling_Cost_rev_015"/>
      <sheetName val="200P_SHEET14"/>
      <sheetName val="Fiel_List13"/>
      <sheetName val="RACK_(CB)new13"/>
      <sheetName val="BA_(6)13"/>
      <sheetName val="BE_(6)13"/>
      <sheetName val="Input_Oper_Lease13"/>
      <sheetName val="使用部品一覧(原紙)_(2)13"/>
      <sheetName val="TABLE(LINE_CODE)13"/>
      <sheetName val="HS_HB_NE_dr_113"/>
      <sheetName val="Model_Price2"/>
      <sheetName val="RT50_Part_List_by_MKT_4-1-111"/>
      <sheetName val="Expect_Depre_13"/>
      <sheetName val="FA_Movement_YE0913"/>
      <sheetName val="Stock_Aging13"/>
      <sheetName val="8974450390_CPK13"/>
      <sheetName val="Sum_20161"/>
      <sheetName val="Sum_20151"/>
      <sheetName val="มิ_ย_522"/>
      <sheetName val="Costing_Assumptions2"/>
      <sheetName val="Purchased_Parts_and_Services2"/>
      <sheetName val="sample_(11)2"/>
      <sheetName val="DATA_BASE1"/>
      <sheetName val="(9_30)_IP1"/>
      <sheetName val="Drop_List1"/>
      <sheetName val="Schedul_ISUZU_March-2013"/>
      <sheetName val="G_Van_-_Price_Build_up"/>
      <sheetName val="ass'y_12'04-05'05"/>
      <sheetName val="C3_N_DC改造投資16"/>
      <sheetName val="GMI-Part_&amp;_tooling_Cost_rev_016"/>
      <sheetName val="200P_SHEET15"/>
      <sheetName val="Fiel_List14"/>
      <sheetName val="RACK_(CB)new14"/>
      <sheetName val="BA_(6)14"/>
      <sheetName val="BE_(6)14"/>
      <sheetName val="Input_Oper_Lease14"/>
      <sheetName val="使用部品一覧(原紙)_(2)14"/>
      <sheetName val="TABLE(LINE_CODE)14"/>
      <sheetName val="HS_HB_NE_dr_114"/>
      <sheetName val="Model_Price3"/>
      <sheetName val="RT50_Part_List_by_MKT_4-1-112"/>
      <sheetName val="Expect_Depre_14"/>
      <sheetName val="FA_Movement_YE0914"/>
      <sheetName val="Stock_Aging14"/>
      <sheetName val="8974450390_CPK14"/>
      <sheetName val="QC_APPROVE_SHEET3"/>
      <sheetName val="Item_Code_-_Machine3"/>
      <sheetName val="Sum_20162"/>
      <sheetName val="Sum_20152"/>
      <sheetName val="มิ_ย_523"/>
      <sheetName val="Costing_Assumptions3"/>
      <sheetName val="Purchased_Parts_and_Services3"/>
      <sheetName val="sample_(11)3"/>
      <sheetName val="DATA_BASE2"/>
      <sheetName val="(9_30)_IP2"/>
      <sheetName val="Drop_List2"/>
      <sheetName val="Checking_report1"/>
      <sheetName val="Schedul_ISUZU_March-20131"/>
      <sheetName val="G_Van_-_Price_Build_up1"/>
      <sheetName val="ass'y_12'04-05'051"/>
      <sheetName val="form_(_A_)"/>
      <sheetName val="form_(_B)"/>
      <sheetName val="Data List"/>
      <sheetName val="N N+1"/>
      <sheetName val="N_N+1"/>
      <sheetName val="BSI ขายให้ TM"/>
      <sheetName val="C3_N_DC改造投資17"/>
      <sheetName val="GMI-Part_&amp;_tooling_Cost_rev_017"/>
      <sheetName val="200P_SHEET16"/>
      <sheetName val="มิ_ย_524"/>
      <sheetName val="Costing_Assumptions4"/>
      <sheetName val="Purchased_Parts_and_Services4"/>
      <sheetName val="sample_(11)4"/>
      <sheetName val="BA_(6)15"/>
      <sheetName val="BE_(6)15"/>
      <sheetName val="Fiel_List15"/>
      <sheetName val="RACK_(CB)new15"/>
      <sheetName val="Input_Oper_Lease15"/>
      <sheetName val="TABLE(LINE_CODE)15"/>
      <sheetName val="使用部品一覧(原紙)_(2)15"/>
      <sheetName val="HS_HB_NE_dr_115"/>
      <sheetName val="Expect_Depre_15"/>
      <sheetName val="FA_Movement_YE0915"/>
      <sheetName val="Stock_Aging15"/>
      <sheetName val="8974450390_CPK15"/>
      <sheetName val="Model_Price4"/>
      <sheetName val="ass'y_06-11'054"/>
      <sheetName val="ass'y_06-11'05_(2)4"/>
      <sheetName val="TNT_F&amp;A_06Budget3"/>
      <sheetName val="QC_APPROVE_SHEET4"/>
      <sheetName val="Item_Code_-_Machine4"/>
      <sheetName val="Checking_report2"/>
      <sheetName val="ass'y_12'04-05'052"/>
      <sheetName val="限界利益表(半期別)"/>
      <sheetName val="機種マスタ"/>
      <sheetName val="31"/>
      <sheetName val="Japan_Data（実）3"/>
      <sheetName val="Japan_Data（実）4"/>
      <sheetName val="Detail-Memo"/>
      <sheetName val="ETRS"/>
      <sheetName val="pv6_3_5l_lx5_gmx170"/>
      <sheetName val="TIRE読み替え表"/>
      <sheetName val="Karyawan"/>
      <sheetName val="PP_Letter 389N"/>
      <sheetName val="PP_Letter_389N"/>
      <sheetName val="PP_Letter_389N1"/>
      <sheetName val="PP_Letter_389N2"/>
      <sheetName val="国販"/>
      <sheetName val="DATA MANAGER"/>
      <sheetName val="QA"/>
      <sheetName val="main"/>
      <sheetName val="Pln_Pdt4"/>
      <sheetName val="SBM2_(FG_1)"/>
      <sheetName val="TMMK_Vehicle_Data"/>
      <sheetName val="TMMC_Vehicle_Data"/>
      <sheetName val="Comparison_data"/>
      <sheetName val="COST_O_K_"/>
      <sheetName val="PART_NAME"/>
      <sheetName val="진행_data_(2)"/>
      <sheetName val="Costed_BOM_2ndR_40%"/>
      <sheetName val="094W原紙_"/>
      <sheetName val="#ofclose__xl"/>
      <sheetName val="MAT-BAL-USE"/>
      <sheetName val="SUM14ZC1"/>
      <sheetName val="PRIMERGY F250 BU RH XEON 2,4GH"/>
      <sheetName val="DATA_MANAGER1"/>
      <sheetName val="COST_O_K_1"/>
      <sheetName val="TMMK_Vehicle_Data1"/>
      <sheetName val="TMMC_Vehicle_Data1"/>
      <sheetName val="Comparison_data1"/>
      <sheetName val="PART_NAME1"/>
      <sheetName val="form_(_A_)1"/>
      <sheetName val="form_(_B)1"/>
      <sheetName val="SBM2_(FG_1)1"/>
      <sheetName val="DATA_MANAGER"/>
      <sheetName val="帳票一覧"/>
      <sheetName val="Base"/>
      <sheetName val="#ofclose"/>
      <sheetName val="Cycletime"/>
      <sheetName val="CASA-PLAN"/>
      <sheetName val="SAMPLE"/>
      <sheetName val="drop down List"/>
      <sheetName val="2. Definitions"/>
      <sheetName val="SA03_Phase1_2"/>
      <sheetName val="General"/>
      <sheetName val="협조전"/>
      <sheetName val="Sheet8"/>
      <sheetName val="626TD(COLOR)"/>
      <sheetName val="Parts"/>
      <sheetName val="2005"/>
      <sheetName val="Installation Database"/>
      <sheetName val="General Data"/>
      <sheetName val="A"/>
      <sheetName val="營業中"/>
      <sheetName val="PN_ORDER"/>
      <sheetName val="UP1"/>
      <sheetName val="UP3"/>
      <sheetName val="Change-over Matrix"/>
      <sheetName val="แผนTRY MOLD TUBE"/>
      <sheetName val="แผนTRY_MOLD_TUBE1"/>
      <sheetName val="แผนTRY_MOLD_TUBE"/>
      <sheetName val="แผนTRY_MOLD_TUBE2"/>
      <sheetName val="TNT_F&amp;A_06Budget4"/>
      <sheetName val="ass'y_06-11'055"/>
      <sheetName val="ass'y_06-11'05_(2)5"/>
      <sheetName val="Pln_Pdt5"/>
      <sheetName val="Sum_20163"/>
      <sheetName val="Sum_20153"/>
      <sheetName val="RT50_Part_List_by_MKT_4-1-113"/>
      <sheetName val="DATA_BASE3"/>
      <sheetName val="(9_30)_IP3"/>
      <sheetName val="BOM_-_Engineering4"/>
      <sheetName val="Drop_List3"/>
      <sheetName val="Checking_report3"/>
      <sheetName val="แผนTRY_MOLD_TUBE3"/>
      <sheetName val="ปกนอก "/>
      <sheetName val="ปกใน"/>
      <sheetName val="WI-PD1-07แก้ไข"/>
      <sheetName val="F-PD1-08"/>
      <sheetName val="F-PD1-25  "/>
      <sheetName val="F-PD1-37"/>
      <sheetName val="F-PD1-39 "/>
      <sheetName val="F-PD1-40 "/>
      <sheetName val="F-PD1-41  "/>
      <sheetName val="07Y（MYS）P2"/>
      <sheetName val="C3_N_DC改造投資18"/>
      <sheetName val="TNT_F&amp;A_06Budget5"/>
      <sheetName val="ass'y_06-11'056"/>
      <sheetName val="ass'y_06-11'05_(2)6"/>
      <sheetName val="Item_Code_-_Machine5"/>
      <sheetName val="Japan_Data（実）5"/>
      <sheetName val="QC_APPROVE_SHEET5"/>
      <sheetName val="Pln_Pdt6"/>
      <sheetName val="Sum_20164"/>
      <sheetName val="Sum_20154"/>
      <sheetName val="RT50_Part_List_by_MKT_4-1-114"/>
      <sheetName val="DATA_BASE4"/>
      <sheetName val="(9_30)_IP4"/>
      <sheetName val="BOM_-_Engineering5"/>
      <sheetName val="Drop_List4"/>
      <sheetName val="Checking_report4"/>
      <sheetName val="แผนTRY_MOLD_TUBE4"/>
      <sheetName val="Schedul_ISUZU_March-20132"/>
      <sheetName val="SBM2_(FG_1)2"/>
      <sheetName val="form_(_A_)2"/>
      <sheetName val="form_(_B)2"/>
      <sheetName val="TMMK_Vehicle_Data2"/>
      <sheetName val="TMMC_Vehicle_Data2"/>
      <sheetName val="Comparison_data2"/>
      <sheetName val="G_Van_-_Price_Build_up2"/>
      <sheetName val="COST_O_K_2"/>
      <sheetName val="PART_NAME2"/>
      <sheetName val="資材費"/>
      <sheetName val="売上"/>
      <sheetName val="X-MR Chart n=4"/>
      <sheetName val="C3_N_DC改造投資19"/>
      <sheetName val="GMI-Part_&amp;_tooling_Cost_rev_018"/>
      <sheetName val="200P_SHEET17"/>
      <sheetName val="Fiel_List16"/>
      <sheetName val="RACK_(CB)new16"/>
      <sheetName val="Input_Oper_Lease16"/>
      <sheetName val="BA_(6)16"/>
      <sheetName val="BE_(6)16"/>
      <sheetName val="TABLE(LINE_CODE)16"/>
      <sheetName val="HS_HB_NE_dr_116"/>
      <sheetName val="使用部品一覧(原紙)_(2)16"/>
      <sheetName val="TNT_F&amp;A_06Budget6"/>
      <sheetName val="Expect_Depre_16"/>
      <sheetName val="FA_Movement_YE0916"/>
      <sheetName val="Stock_Aging16"/>
      <sheetName val="8974450390_CPK16"/>
      <sheetName val="ass'y_06-11'057"/>
      <sheetName val="ass'y_06-11'05_(2)7"/>
      <sheetName val="Item_Code_-_Machine6"/>
      <sheetName val="Japan_Data（実）6"/>
      <sheetName val="มิ_ย_525"/>
      <sheetName val="Costing_Assumptions5"/>
      <sheetName val="Purchased_Parts_and_Services5"/>
      <sheetName val="sample_(11)5"/>
      <sheetName val="QC_APPROVE_SHEET6"/>
      <sheetName val="Pln_Pdt7"/>
      <sheetName val="Sum_20165"/>
      <sheetName val="Sum_20155"/>
      <sheetName val="Model_Price5"/>
      <sheetName val="RT50_Part_List_by_MKT_4-1-115"/>
      <sheetName val="DATA_BASE5"/>
      <sheetName val="(9_30)_IP5"/>
      <sheetName val="BOM_-_Engineering6"/>
      <sheetName val="Drop_List5"/>
      <sheetName val="Checking_report5"/>
      <sheetName val="แผนTRY_MOLD_TUBE5"/>
      <sheetName val="ass'y_12'04-05'053"/>
      <sheetName val="Schedul_ISUZU_March-20133"/>
      <sheetName val="SBM2_(FG_1)3"/>
      <sheetName val="form_(_A_)3"/>
      <sheetName val="form_(_B)3"/>
      <sheetName val="TMMK_Vehicle_Data3"/>
      <sheetName val="TMMC_Vehicle_Data3"/>
      <sheetName val="Comparison_data3"/>
      <sheetName val="G_Van_-_Price_Build_up3"/>
      <sheetName val="COST_O_K_3"/>
      <sheetName val="PART_NAME3"/>
      <sheetName val="Lista_Usterek"/>
      <sheetName val="Drop_Down"/>
      <sheetName val="N_N+11"/>
      <sheetName val="BSI_ขายให้_TM"/>
      <sheetName val="Data_List"/>
      <sheetName val="C3_N_DC改造投資20"/>
      <sheetName val="GMI-Part_&amp;_tooling_Cost_rev_019"/>
      <sheetName val="200P_SHEET18"/>
      <sheetName val="Fiel_List17"/>
      <sheetName val="RACK_(CB)new17"/>
      <sheetName val="Input_Oper_Lease17"/>
      <sheetName val="BA_(6)17"/>
      <sheetName val="BE_(6)17"/>
      <sheetName val="TABLE(LINE_CODE)17"/>
      <sheetName val="HS_HB_NE_dr_117"/>
      <sheetName val="使用部品一覧(原紙)_(2)17"/>
      <sheetName val="TNT_F&amp;A_06Budget7"/>
      <sheetName val="Expect_Depre_17"/>
      <sheetName val="FA_Movement_YE0917"/>
      <sheetName val="Stock_Aging17"/>
      <sheetName val="8974450390_CPK17"/>
      <sheetName val="ass'y_06-11'058"/>
      <sheetName val="ass'y_06-11'05_(2)8"/>
      <sheetName val="Item_Code_-_Machine7"/>
      <sheetName val="Japan_Data（実）7"/>
      <sheetName val="มิ_ย_526"/>
      <sheetName val="Costing_Assumptions6"/>
      <sheetName val="Purchased_Parts_and_Services6"/>
      <sheetName val="sample_(11)6"/>
      <sheetName val="QC_APPROVE_SHEET7"/>
      <sheetName val="Pln_Pdt8"/>
      <sheetName val="Sum_20166"/>
      <sheetName val="Sum_20156"/>
      <sheetName val="Model_Price6"/>
      <sheetName val="RT50_Part_List_by_MKT_4-1-116"/>
      <sheetName val="DATA_BASE6"/>
      <sheetName val="(9_30)_IP6"/>
      <sheetName val="BOM_-_Engineering7"/>
      <sheetName val="Drop_List6"/>
      <sheetName val="Checking_report6"/>
      <sheetName val="แผนTRY_MOLD_TUBE6"/>
      <sheetName val="ass'y_12'04-05'054"/>
      <sheetName val="Schedul_ISUZU_March-20134"/>
      <sheetName val="SBM2_(FG_1)4"/>
      <sheetName val="form_(_A_)4"/>
      <sheetName val="form_(_B)4"/>
      <sheetName val="TMMK_Vehicle_Data4"/>
      <sheetName val="TMMC_Vehicle_Data4"/>
      <sheetName val="Comparison_data4"/>
      <sheetName val="G_Van_-_Price_Build_up4"/>
      <sheetName val="COST_O_K_4"/>
      <sheetName val="PART_NAME4"/>
      <sheetName val="Lista_Usterek1"/>
      <sheetName val="Drop_Down1"/>
      <sheetName val="N_N+12"/>
      <sheetName val="BSI_ขายให้_TM1"/>
      <sheetName val="Data_List1"/>
      <sheetName val="X-MR_Chart_n=4"/>
      <sheetName val="C3_N_DC改造投資21"/>
      <sheetName val="GMI-Part_&amp;_tooling_Cost_rev_020"/>
      <sheetName val="RACK_(CB)new18"/>
      <sheetName val="200P_SHEET19"/>
      <sheetName val="Fiel_List18"/>
      <sheetName val="Input_Oper_Lease18"/>
      <sheetName val="BA_(6)18"/>
      <sheetName val="BE_(6)18"/>
      <sheetName val="TABLE(LINE_CODE)18"/>
      <sheetName val="HS_HB_NE_dr_118"/>
      <sheetName val="使用部品一覧(原紙)_(2)18"/>
      <sheetName val="TNT_F&amp;A_06Budget8"/>
      <sheetName val="Expect_Depre_18"/>
      <sheetName val="FA_Movement_YE0918"/>
      <sheetName val="Stock_Aging18"/>
      <sheetName val="8974450390_CPK18"/>
      <sheetName val="ass'y_06-11'059"/>
      <sheetName val="ass'y_06-11'05_(2)9"/>
      <sheetName val="Item_Code_-_Machine8"/>
      <sheetName val="Japan_Data（実）8"/>
      <sheetName val="มิ_ย_527"/>
      <sheetName val="Costing_Assumptions7"/>
      <sheetName val="Purchased_Parts_and_Services7"/>
      <sheetName val="sample_(11)7"/>
      <sheetName val="QC_APPROVE_SHEET8"/>
      <sheetName val="Pln_Pdt9"/>
      <sheetName val="Sum_20167"/>
      <sheetName val="Sum_20157"/>
      <sheetName val="Model_Price7"/>
      <sheetName val="RT50_Part_List_by_MKT_4-1-117"/>
      <sheetName val="DATA_BASE7"/>
      <sheetName val="(9_30)_IP7"/>
      <sheetName val="BOM_-_Engineering8"/>
      <sheetName val="Drop_List7"/>
      <sheetName val="Checking_report7"/>
      <sheetName val="แผนTRY_MOLD_TUBE7"/>
      <sheetName val="ass'y_12'04-05'055"/>
      <sheetName val="Schedul_ISUZU_March-20135"/>
      <sheetName val="SBM2_(FG_1)5"/>
      <sheetName val="form_(_A_)5"/>
      <sheetName val="form_(_B)5"/>
      <sheetName val="TMMK_Vehicle_Data5"/>
      <sheetName val="TMMC_Vehicle_Data5"/>
      <sheetName val="Comparison_data5"/>
      <sheetName val="G_Van_-_Price_Build_up5"/>
      <sheetName val="COST_O_K_5"/>
      <sheetName val="PART_NAME5"/>
      <sheetName val="Lista_Usterek2"/>
      <sheetName val="Drop_Down2"/>
      <sheetName val="N_N+13"/>
      <sheetName val="BSI_ขายให้_TM2"/>
      <sheetName val="Data_List2"/>
      <sheetName val="X-MR_Chart_n=41"/>
      <sheetName val="pv6_3_5l_lx5_gmx1701"/>
      <sheetName val="진행_data_(2)1"/>
      <sheetName val="Costed_BOM_2ndR_40%1"/>
      <sheetName val="094W原紙_1"/>
      <sheetName val="#ofclose__xl1"/>
      <sheetName val="input"/>
      <sheetName val="C3_N_DC改造投資22"/>
      <sheetName val="GMI-Part_&amp;_tooling_Cost_rev_021"/>
      <sheetName val="RACK_(CB)new19"/>
      <sheetName val="200P_SHEET20"/>
      <sheetName val="Fiel_List19"/>
      <sheetName val="Input_Oper_Lease19"/>
      <sheetName val="BA_(6)19"/>
      <sheetName val="BE_(6)19"/>
      <sheetName val="TABLE(LINE_CODE)19"/>
      <sheetName val="HS_HB_NE_dr_119"/>
      <sheetName val="使用部品一覧(原紙)_(2)19"/>
      <sheetName val="TNT_F&amp;A_06Budget9"/>
      <sheetName val="Expect_Depre_19"/>
      <sheetName val="FA_Movement_YE0919"/>
      <sheetName val="Stock_Aging19"/>
      <sheetName val="8974450390_CPK19"/>
      <sheetName val="ass'y_06-11'0510"/>
      <sheetName val="ass'y_06-11'05_(2)10"/>
      <sheetName val="Item_Code_-_Machine9"/>
      <sheetName val="Japan_Data（実）9"/>
      <sheetName val="มิ_ย_528"/>
      <sheetName val="Costing_Assumptions8"/>
      <sheetName val="Purchased_Parts_and_Services8"/>
      <sheetName val="sample_(11)8"/>
      <sheetName val="QC_APPROVE_SHEET9"/>
      <sheetName val="Pln_Pdt10"/>
      <sheetName val="Sum_20168"/>
      <sheetName val="Sum_20158"/>
      <sheetName val="Model_Price8"/>
      <sheetName val="RT50_Part_List_by_MKT_4-1-118"/>
      <sheetName val="DATA_BASE8"/>
      <sheetName val="(9_30)_IP8"/>
      <sheetName val="BOM_-_Engineering9"/>
      <sheetName val="Drop_List8"/>
      <sheetName val="Checking_report8"/>
      <sheetName val="แผนTRY_MOLD_TUBE8"/>
      <sheetName val="ass'y_12'04-05'056"/>
      <sheetName val="Schedul_ISUZU_March-20136"/>
      <sheetName val="SBM2_(FG_1)6"/>
      <sheetName val="form_(_A_)6"/>
      <sheetName val="form_(_B)6"/>
      <sheetName val="TMMK_Vehicle_Data6"/>
      <sheetName val="TMMC_Vehicle_Data6"/>
      <sheetName val="Comparison_data6"/>
      <sheetName val="G_Van_-_Price_Build_up6"/>
      <sheetName val="COST_O_K_6"/>
      <sheetName val="PART_NAME6"/>
      <sheetName val="Lista_Usterek3"/>
      <sheetName val="Drop_Down3"/>
      <sheetName val="N_N+14"/>
      <sheetName val="BSI_ขายให้_TM3"/>
      <sheetName val="Data_List3"/>
      <sheetName val="X-MR_Chart_n=42"/>
      <sheetName val="pv6_3_5l_lx5_gmx1702"/>
      <sheetName val="진행_data_(2)2"/>
      <sheetName val="Costed_BOM_2ndR_40%2"/>
      <sheetName val="094W原紙_2"/>
      <sheetName val="#ofclose__xl2"/>
      <sheetName val="PRINT"/>
    </sheetNames>
    <sheetDataSet>
      <sheetData sheetId="0">
        <row r="1">
          <cell r="A1" t="str">
            <v>MODEL 00TF,M/C</v>
          </cell>
        </row>
        <row r="4">
          <cell r="I4" t="str">
            <v>DRW RCV PLAN</v>
          </cell>
          <cell r="J4" t="str">
            <v>DRW RCVD</v>
          </cell>
          <cell r="N4" t="str">
            <v>M/SCHDL</v>
          </cell>
          <cell r="P4" t="str">
            <v>SAMPLE RCV PL</v>
          </cell>
          <cell r="Q4" t="str">
            <v>SAMPLERCVD</v>
          </cell>
          <cell r="R4" t="str">
            <v>ISIR</v>
          </cell>
        </row>
        <row r="5">
          <cell r="I5">
            <v>36147</v>
          </cell>
          <cell r="N5">
            <v>36119</v>
          </cell>
          <cell r="P5">
            <v>36382</v>
          </cell>
        </row>
        <row r="6">
          <cell r="I6">
            <v>36147</v>
          </cell>
          <cell r="N6">
            <v>36119</v>
          </cell>
          <cell r="P6">
            <v>36382</v>
          </cell>
        </row>
        <row r="7">
          <cell r="I7">
            <v>36119</v>
          </cell>
          <cell r="J7">
            <v>36126</v>
          </cell>
          <cell r="N7">
            <v>36175</v>
          </cell>
          <cell r="P7">
            <v>36185</v>
          </cell>
        </row>
        <row r="8">
          <cell r="I8">
            <v>36119</v>
          </cell>
          <cell r="J8">
            <v>36126</v>
          </cell>
          <cell r="N8">
            <v>36175</v>
          </cell>
          <cell r="P8">
            <v>36185</v>
          </cell>
        </row>
        <row r="9">
          <cell r="I9">
            <v>36119</v>
          </cell>
          <cell r="J9">
            <v>36126</v>
          </cell>
          <cell r="N9">
            <v>36175</v>
          </cell>
          <cell r="P9">
            <v>36185</v>
          </cell>
        </row>
        <row r="10">
          <cell r="I10">
            <v>36119</v>
          </cell>
          <cell r="J10">
            <v>36126</v>
          </cell>
          <cell r="N10">
            <v>36175</v>
          </cell>
          <cell r="P10">
            <v>36185</v>
          </cell>
        </row>
        <row r="11">
          <cell r="I11">
            <v>36053</v>
          </cell>
          <cell r="J11">
            <v>36136</v>
          </cell>
          <cell r="N11">
            <v>35961</v>
          </cell>
          <cell r="P11">
            <v>36382</v>
          </cell>
        </row>
        <row r="12">
          <cell r="I12">
            <v>36053</v>
          </cell>
          <cell r="J12">
            <v>36114</v>
          </cell>
          <cell r="N12">
            <v>35961</v>
          </cell>
          <cell r="P12">
            <v>36382</v>
          </cell>
        </row>
        <row r="13">
          <cell r="I13">
            <v>36053</v>
          </cell>
          <cell r="J13">
            <v>36114</v>
          </cell>
          <cell r="N13">
            <v>35961</v>
          </cell>
          <cell r="P13">
            <v>36382</v>
          </cell>
        </row>
        <row r="14">
          <cell r="I14">
            <v>36105</v>
          </cell>
          <cell r="J14">
            <v>36136</v>
          </cell>
          <cell r="N14">
            <v>35961</v>
          </cell>
          <cell r="P14">
            <v>36382</v>
          </cell>
        </row>
        <row r="15">
          <cell r="I15">
            <v>36105</v>
          </cell>
          <cell r="J15">
            <v>36136</v>
          </cell>
          <cell r="N15">
            <v>35961</v>
          </cell>
          <cell r="P15">
            <v>36382</v>
          </cell>
        </row>
        <row r="16">
          <cell r="I16">
            <v>36154</v>
          </cell>
          <cell r="J16">
            <v>36173</v>
          </cell>
        </row>
        <row r="17">
          <cell r="I17">
            <v>36154</v>
          </cell>
          <cell r="J17">
            <v>36154</v>
          </cell>
          <cell r="N17">
            <v>36180</v>
          </cell>
        </row>
        <row r="18">
          <cell r="I18">
            <v>36154</v>
          </cell>
          <cell r="J18">
            <v>36154</v>
          </cell>
          <cell r="N18">
            <v>36180</v>
          </cell>
        </row>
        <row r="19">
          <cell r="I19">
            <v>36154</v>
          </cell>
          <cell r="J19">
            <v>36154</v>
          </cell>
          <cell r="N19">
            <v>36180</v>
          </cell>
        </row>
        <row r="20">
          <cell r="I20">
            <v>36147</v>
          </cell>
          <cell r="J20">
            <v>36173</v>
          </cell>
          <cell r="P20">
            <v>36206</v>
          </cell>
        </row>
        <row r="21">
          <cell r="I21">
            <v>36147</v>
          </cell>
          <cell r="J21">
            <v>36173</v>
          </cell>
          <cell r="P21">
            <v>36206</v>
          </cell>
        </row>
        <row r="22">
          <cell r="I22">
            <v>36147</v>
          </cell>
          <cell r="J22">
            <v>36173</v>
          </cell>
          <cell r="P22">
            <v>36206</v>
          </cell>
        </row>
        <row r="23">
          <cell r="I23">
            <v>36147</v>
          </cell>
          <cell r="J23">
            <v>36173</v>
          </cell>
          <cell r="P23">
            <v>36206</v>
          </cell>
        </row>
        <row r="24">
          <cell r="I24">
            <v>36147</v>
          </cell>
          <cell r="J24">
            <v>36173</v>
          </cell>
          <cell r="P24">
            <v>36206</v>
          </cell>
        </row>
        <row r="25">
          <cell r="I25">
            <v>36147</v>
          </cell>
          <cell r="J25">
            <v>36173</v>
          </cell>
          <cell r="P25">
            <v>36206</v>
          </cell>
        </row>
        <row r="26">
          <cell r="I26">
            <v>36147</v>
          </cell>
          <cell r="J26">
            <v>36173</v>
          </cell>
        </row>
        <row r="27">
          <cell r="I27">
            <v>36147</v>
          </cell>
          <cell r="J27">
            <v>36173</v>
          </cell>
          <cell r="P27">
            <v>36206</v>
          </cell>
        </row>
        <row r="28">
          <cell r="I28">
            <v>36154</v>
          </cell>
          <cell r="J28">
            <v>36173</v>
          </cell>
          <cell r="P28">
            <v>36206</v>
          </cell>
        </row>
        <row r="29">
          <cell r="I29">
            <v>36147</v>
          </cell>
          <cell r="J29">
            <v>36173</v>
          </cell>
          <cell r="N29">
            <v>36180</v>
          </cell>
          <cell r="P29">
            <v>36219</v>
          </cell>
        </row>
        <row r="30">
          <cell r="I30">
            <v>36154</v>
          </cell>
          <cell r="J30">
            <v>36173</v>
          </cell>
          <cell r="N30">
            <v>36180</v>
          </cell>
          <cell r="P30">
            <v>36219</v>
          </cell>
        </row>
        <row r="31">
          <cell r="I31">
            <v>36154</v>
          </cell>
          <cell r="J31">
            <v>36173</v>
          </cell>
          <cell r="N31">
            <v>36180</v>
          </cell>
          <cell r="P31">
            <v>36219</v>
          </cell>
        </row>
        <row r="32">
          <cell r="I32">
            <v>36154</v>
          </cell>
          <cell r="J32">
            <v>36173</v>
          </cell>
          <cell r="P32">
            <v>36206</v>
          </cell>
        </row>
        <row r="33">
          <cell r="I33">
            <v>36154</v>
          </cell>
          <cell r="J33">
            <v>36173</v>
          </cell>
          <cell r="P33">
            <v>36206</v>
          </cell>
        </row>
        <row r="34">
          <cell r="I34">
            <v>36154</v>
          </cell>
          <cell r="J34">
            <v>36173</v>
          </cell>
          <cell r="P34">
            <v>36206</v>
          </cell>
        </row>
        <row r="35">
          <cell r="I35">
            <v>36154</v>
          </cell>
          <cell r="J35">
            <v>36173</v>
          </cell>
          <cell r="P35">
            <v>36206</v>
          </cell>
        </row>
        <row r="36">
          <cell r="I36">
            <v>36154</v>
          </cell>
          <cell r="J36">
            <v>36173</v>
          </cell>
          <cell r="P36">
            <v>36206</v>
          </cell>
        </row>
        <row r="37">
          <cell r="I37">
            <v>36154</v>
          </cell>
          <cell r="J37">
            <v>36173</v>
          </cell>
          <cell r="P37">
            <v>36206</v>
          </cell>
        </row>
        <row r="38">
          <cell r="J38">
            <v>36173</v>
          </cell>
        </row>
        <row r="39">
          <cell r="I39">
            <v>36130</v>
          </cell>
          <cell r="J39">
            <v>36173</v>
          </cell>
        </row>
        <row r="40">
          <cell r="I40">
            <v>36130</v>
          </cell>
          <cell r="J40">
            <v>36173</v>
          </cell>
        </row>
        <row r="41">
          <cell r="I41">
            <v>36130</v>
          </cell>
          <cell r="J41">
            <v>36173</v>
          </cell>
        </row>
        <row r="42">
          <cell r="I42">
            <v>36130</v>
          </cell>
          <cell r="J42">
            <v>36173</v>
          </cell>
        </row>
        <row r="43">
          <cell r="I43">
            <v>36053</v>
          </cell>
          <cell r="J43">
            <v>36173</v>
          </cell>
          <cell r="N43">
            <v>36185</v>
          </cell>
        </row>
        <row r="44">
          <cell r="I44">
            <v>36053</v>
          </cell>
          <cell r="J44">
            <v>36173</v>
          </cell>
          <cell r="N44">
            <v>36185</v>
          </cell>
        </row>
        <row r="45">
          <cell r="I45">
            <v>36053</v>
          </cell>
          <cell r="J45">
            <v>36173</v>
          </cell>
          <cell r="N45">
            <v>36185</v>
          </cell>
        </row>
        <row r="46">
          <cell r="I46">
            <v>36053</v>
          </cell>
          <cell r="J46">
            <v>36173</v>
          </cell>
          <cell r="N46">
            <v>36185</v>
          </cell>
        </row>
        <row r="47">
          <cell r="I47">
            <v>36053</v>
          </cell>
          <cell r="J47">
            <v>36173</v>
          </cell>
          <cell r="N47">
            <v>36185</v>
          </cell>
        </row>
        <row r="48">
          <cell r="I48">
            <v>36053</v>
          </cell>
          <cell r="J48">
            <v>36173</v>
          </cell>
          <cell r="N48">
            <v>36185</v>
          </cell>
        </row>
        <row r="49">
          <cell r="I49">
            <v>36053</v>
          </cell>
          <cell r="J49">
            <v>36173</v>
          </cell>
          <cell r="N49">
            <v>36185</v>
          </cell>
        </row>
        <row r="50">
          <cell r="I50">
            <v>36053</v>
          </cell>
          <cell r="J50">
            <v>36173</v>
          </cell>
          <cell r="N50">
            <v>36185</v>
          </cell>
        </row>
        <row r="51">
          <cell r="I51">
            <v>36053</v>
          </cell>
          <cell r="J51">
            <v>36173</v>
          </cell>
          <cell r="N51">
            <v>36185</v>
          </cell>
        </row>
        <row r="52">
          <cell r="I52">
            <v>36053</v>
          </cell>
          <cell r="J52">
            <v>36173</v>
          </cell>
          <cell r="N52">
            <v>36185</v>
          </cell>
        </row>
        <row r="53">
          <cell r="I53">
            <v>36053</v>
          </cell>
          <cell r="J53">
            <v>36173</v>
          </cell>
          <cell r="N53">
            <v>36185</v>
          </cell>
        </row>
        <row r="54">
          <cell r="I54">
            <v>36053</v>
          </cell>
          <cell r="J54">
            <v>36173</v>
          </cell>
          <cell r="N54">
            <v>36185</v>
          </cell>
        </row>
        <row r="55">
          <cell r="I55">
            <v>36053</v>
          </cell>
          <cell r="J55">
            <v>36173</v>
          </cell>
          <cell r="N55">
            <v>36185</v>
          </cell>
        </row>
        <row r="56">
          <cell r="I56">
            <v>36053</v>
          </cell>
          <cell r="J56">
            <v>36173</v>
          </cell>
          <cell r="N56">
            <v>36185</v>
          </cell>
        </row>
        <row r="57">
          <cell r="I57">
            <v>36053</v>
          </cell>
          <cell r="J57">
            <v>36173</v>
          </cell>
          <cell r="N57">
            <v>36185</v>
          </cell>
        </row>
        <row r="58">
          <cell r="I58">
            <v>36053</v>
          </cell>
          <cell r="J58">
            <v>36173</v>
          </cell>
          <cell r="N58">
            <v>36185</v>
          </cell>
        </row>
        <row r="59">
          <cell r="I59">
            <v>36048</v>
          </cell>
          <cell r="J59">
            <v>36173</v>
          </cell>
          <cell r="N59">
            <v>36083</v>
          </cell>
        </row>
        <row r="60">
          <cell r="I60">
            <v>36048</v>
          </cell>
          <cell r="J60">
            <v>36173</v>
          </cell>
          <cell r="N60">
            <v>36083</v>
          </cell>
        </row>
        <row r="61">
          <cell r="I61">
            <v>35991</v>
          </cell>
          <cell r="J61">
            <v>36173</v>
          </cell>
          <cell r="N61">
            <v>35991</v>
          </cell>
          <cell r="P61">
            <v>36175</v>
          </cell>
        </row>
        <row r="62">
          <cell r="I62">
            <v>35991</v>
          </cell>
          <cell r="J62">
            <v>36173</v>
          </cell>
          <cell r="N62">
            <v>35991</v>
          </cell>
          <cell r="P62">
            <v>36175</v>
          </cell>
        </row>
        <row r="63">
          <cell r="J63">
            <v>36173</v>
          </cell>
        </row>
        <row r="64">
          <cell r="I64">
            <v>36098</v>
          </cell>
          <cell r="J64">
            <v>36173</v>
          </cell>
          <cell r="N64">
            <v>36145</v>
          </cell>
          <cell r="P64">
            <v>36168</v>
          </cell>
        </row>
        <row r="65">
          <cell r="I65">
            <v>36098</v>
          </cell>
          <cell r="J65">
            <v>36173</v>
          </cell>
          <cell r="N65">
            <v>36145</v>
          </cell>
          <cell r="P65">
            <v>36168</v>
          </cell>
        </row>
        <row r="66">
          <cell r="I66">
            <v>36098</v>
          </cell>
          <cell r="J66">
            <v>36173</v>
          </cell>
          <cell r="N66">
            <v>36145</v>
          </cell>
          <cell r="P66">
            <v>36175</v>
          </cell>
        </row>
        <row r="67">
          <cell r="I67">
            <v>36098</v>
          </cell>
          <cell r="J67">
            <v>36173</v>
          </cell>
          <cell r="N67">
            <v>36145</v>
          </cell>
          <cell r="P67">
            <v>36175</v>
          </cell>
        </row>
        <row r="68">
          <cell r="I68">
            <v>36098</v>
          </cell>
          <cell r="J68">
            <v>36173</v>
          </cell>
          <cell r="N68">
            <v>36175</v>
          </cell>
          <cell r="P68">
            <v>36175</v>
          </cell>
        </row>
        <row r="69">
          <cell r="I69">
            <v>36098</v>
          </cell>
          <cell r="J69">
            <v>36173</v>
          </cell>
          <cell r="N69">
            <v>36175</v>
          </cell>
          <cell r="P69">
            <v>36175</v>
          </cell>
        </row>
        <row r="70">
          <cell r="I70">
            <v>36130</v>
          </cell>
          <cell r="J70">
            <v>36173</v>
          </cell>
        </row>
        <row r="71">
          <cell r="I71">
            <v>36130</v>
          </cell>
          <cell r="J71">
            <v>36173</v>
          </cell>
        </row>
        <row r="72">
          <cell r="I72">
            <v>36140</v>
          </cell>
          <cell r="J72">
            <v>36173</v>
          </cell>
        </row>
        <row r="73">
          <cell r="I73">
            <v>36140</v>
          </cell>
          <cell r="J73">
            <v>36173</v>
          </cell>
        </row>
        <row r="74">
          <cell r="I74">
            <v>36098</v>
          </cell>
          <cell r="J74">
            <v>36173</v>
          </cell>
        </row>
        <row r="75">
          <cell r="I75">
            <v>36098</v>
          </cell>
          <cell r="J75">
            <v>36173</v>
          </cell>
          <cell r="N75">
            <v>36114</v>
          </cell>
          <cell r="P75">
            <v>36270</v>
          </cell>
        </row>
        <row r="76">
          <cell r="I76">
            <v>36098</v>
          </cell>
          <cell r="J76">
            <v>36173</v>
          </cell>
          <cell r="N76">
            <v>36114</v>
          </cell>
          <cell r="P76">
            <v>36270</v>
          </cell>
        </row>
        <row r="77">
          <cell r="I77">
            <v>36143</v>
          </cell>
          <cell r="J77">
            <v>36167</v>
          </cell>
          <cell r="N77">
            <v>36127</v>
          </cell>
          <cell r="P77">
            <v>36217</v>
          </cell>
          <cell r="R77">
            <v>36265</v>
          </cell>
        </row>
        <row r="78">
          <cell r="I78">
            <v>35961</v>
          </cell>
          <cell r="J78">
            <v>36173</v>
          </cell>
          <cell r="N78">
            <v>35991</v>
          </cell>
          <cell r="P78">
            <v>36175</v>
          </cell>
        </row>
        <row r="79">
          <cell r="I79">
            <v>35961</v>
          </cell>
          <cell r="J79">
            <v>36173</v>
          </cell>
          <cell r="N79">
            <v>35991</v>
          </cell>
          <cell r="P79">
            <v>36175</v>
          </cell>
        </row>
        <row r="80">
          <cell r="I80">
            <v>35961</v>
          </cell>
          <cell r="J80">
            <v>36173</v>
          </cell>
          <cell r="N80">
            <v>35991</v>
          </cell>
          <cell r="P80">
            <v>36175</v>
          </cell>
        </row>
        <row r="81">
          <cell r="I81">
            <v>35961</v>
          </cell>
          <cell r="J81">
            <v>36173</v>
          </cell>
          <cell r="N81">
            <v>35991</v>
          </cell>
          <cell r="P81">
            <v>36175</v>
          </cell>
        </row>
        <row r="82">
          <cell r="I82">
            <v>35961</v>
          </cell>
          <cell r="J82">
            <v>36173</v>
          </cell>
          <cell r="N82">
            <v>35991</v>
          </cell>
          <cell r="P82">
            <v>36175</v>
          </cell>
        </row>
        <row r="83">
          <cell r="I83">
            <v>36069</v>
          </cell>
          <cell r="J83">
            <v>36173</v>
          </cell>
          <cell r="N83">
            <v>36109</v>
          </cell>
          <cell r="P83">
            <v>36146</v>
          </cell>
          <cell r="R83">
            <v>36175</v>
          </cell>
        </row>
        <row r="84">
          <cell r="I84">
            <v>36022</v>
          </cell>
          <cell r="J84">
            <v>36173</v>
          </cell>
          <cell r="N84">
            <v>35976</v>
          </cell>
          <cell r="P84">
            <v>36190</v>
          </cell>
          <cell r="R84">
            <v>36175</v>
          </cell>
        </row>
        <row r="85">
          <cell r="I85">
            <v>36022</v>
          </cell>
          <cell r="J85">
            <v>36173</v>
          </cell>
          <cell r="N85">
            <v>36144</v>
          </cell>
          <cell r="P85">
            <v>36182</v>
          </cell>
        </row>
        <row r="86">
          <cell r="I86">
            <v>36069</v>
          </cell>
          <cell r="J86">
            <v>36173</v>
          </cell>
          <cell r="N86">
            <v>36154</v>
          </cell>
          <cell r="P86">
            <v>36150</v>
          </cell>
          <cell r="R86">
            <v>36189</v>
          </cell>
        </row>
        <row r="87">
          <cell r="I87">
            <v>36069</v>
          </cell>
          <cell r="J87">
            <v>36173</v>
          </cell>
          <cell r="N87">
            <v>36035</v>
          </cell>
          <cell r="P87">
            <v>36129</v>
          </cell>
          <cell r="R87">
            <v>36189</v>
          </cell>
        </row>
        <row r="88">
          <cell r="I88">
            <v>36143</v>
          </cell>
          <cell r="J88">
            <v>36167</v>
          </cell>
          <cell r="N88">
            <v>36127</v>
          </cell>
          <cell r="P88">
            <v>36235</v>
          </cell>
          <cell r="R88">
            <v>36284</v>
          </cell>
        </row>
        <row r="89">
          <cell r="I89">
            <v>36144</v>
          </cell>
          <cell r="J89">
            <v>36173</v>
          </cell>
          <cell r="N89">
            <v>36178</v>
          </cell>
          <cell r="P89">
            <v>36220</v>
          </cell>
        </row>
        <row r="90">
          <cell r="I90">
            <v>36144</v>
          </cell>
          <cell r="J90">
            <v>36173</v>
          </cell>
          <cell r="N90">
            <v>36178</v>
          </cell>
          <cell r="P90">
            <v>36224</v>
          </cell>
        </row>
        <row r="91">
          <cell r="I91">
            <v>36144</v>
          </cell>
          <cell r="J91">
            <v>36173</v>
          </cell>
          <cell r="N91">
            <v>36178</v>
          </cell>
          <cell r="P91">
            <v>36216</v>
          </cell>
        </row>
        <row r="92">
          <cell r="I92">
            <v>36144</v>
          </cell>
          <cell r="J92">
            <v>36173</v>
          </cell>
          <cell r="N92">
            <v>36178</v>
          </cell>
          <cell r="P92">
            <v>36216</v>
          </cell>
        </row>
        <row r="93">
          <cell r="I93">
            <v>36144</v>
          </cell>
          <cell r="J93">
            <v>36173</v>
          </cell>
          <cell r="N93">
            <v>36178</v>
          </cell>
          <cell r="P93">
            <v>36210</v>
          </cell>
        </row>
        <row r="94">
          <cell r="I94">
            <v>36144</v>
          </cell>
          <cell r="J94">
            <v>36173</v>
          </cell>
          <cell r="N94">
            <v>36178</v>
          </cell>
          <cell r="P94">
            <v>36210</v>
          </cell>
        </row>
        <row r="95">
          <cell r="I95">
            <v>36063</v>
          </cell>
          <cell r="J95">
            <v>36173</v>
          </cell>
        </row>
        <row r="96">
          <cell r="I96">
            <v>36140</v>
          </cell>
          <cell r="J96">
            <v>36173</v>
          </cell>
          <cell r="N96">
            <v>36219</v>
          </cell>
          <cell r="P96">
            <v>36219</v>
          </cell>
        </row>
        <row r="97">
          <cell r="I97">
            <v>36140</v>
          </cell>
          <cell r="J97">
            <v>36173</v>
          </cell>
          <cell r="N97">
            <v>36219</v>
          </cell>
          <cell r="P97">
            <v>36219</v>
          </cell>
        </row>
        <row r="98">
          <cell r="I98">
            <v>36130</v>
          </cell>
          <cell r="J98">
            <v>36173</v>
          </cell>
          <cell r="N98">
            <v>36132</v>
          </cell>
          <cell r="P98">
            <v>36203</v>
          </cell>
        </row>
        <row r="99">
          <cell r="I99">
            <v>36130</v>
          </cell>
          <cell r="J99">
            <v>36173</v>
          </cell>
          <cell r="N99">
            <v>36132</v>
          </cell>
          <cell r="P99">
            <v>36203</v>
          </cell>
        </row>
        <row r="100">
          <cell r="I100">
            <v>36130</v>
          </cell>
          <cell r="J100">
            <v>36173</v>
          </cell>
          <cell r="N100">
            <v>36132</v>
          </cell>
          <cell r="P100">
            <v>36203</v>
          </cell>
        </row>
        <row r="101">
          <cell r="I101">
            <v>36130</v>
          </cell>
          <cell r="J101">
            <v>36173</v>
          </cell>
          <cell r="N101">
            <v>36132</v>
          </cell>
          <cell r="P101">
            <v>36203</v>
          </cell>
        </row>
        <row r="102">
          <cell r="I102">
            <v>36130</v>
          </cell>
          <cell r="J102">
            <v>36173</v>
          </cell>
          <cell r="N102">
            <v>36132</v>
          </cell>
          <cell r="P102">
            <v>36203</v>
          </cell>
        </row>
        <row r="103">
          <cell r="I103">
            <v>36130</v>
          </cell>
          <cell r="J103">
            <v>36173</v>
          </cell>
          <cell r="N103">
            <v>36132</v>
          </cell>
          <cell r="P103">
            <v>36203</v>
          </cell>
        </row>
        <row r="104">
          <cell r="I104">
            <v>36130</v>
          </cell>
          <cell r="J104">
            <v>36173</v>
          </cell>
          <cell r="N104">
            <v>36132</v>
          </cell>
          <cell r="P104">
            <v>36203</v>
          </cell>
        </row>
        <row r="105">
          <cell r="I105">
            <v>36130</v>
          </cell>
          <cell r="J105">
            <v>36173</v>
          </cell>
          <cell r="N105">
            <v>36132</v>
          </cell>
          <cell r="P105">
            <v>36203</v>
          </cell>
        </row>
        <row r="106">
          <cell r="I106">
            <v>36130</v>
          </cell>
          <cell r="J106">
            <v>36173</v>
          </cell>
          <cell r="N106">
            <v>36132</v>
          </cell>
          <cell r="P106">
            <v>36203</v>
          </cell>
        </row>
        <row r="107">
          <cell r="I107">
            <v>36130</v>
          </cell>
          <cell r="J107">
            <v>36173</v>
          </cell>
          <cell r="N107">
            <v>36132</v>
          </cell>
          <cell r="P107">
            <v>36203</v>
          </cell>
        </row>
        <row r="108">
          <cell r="I108">
            <v>36130</v>
          </cell>
          <cell r="J108">
            <v>36173</v>
          </cell>
          <cell r="N108">
            <v>36132</v>
          </cell>
          <cell r="P108">
            <v>36203</v>
          </cell>
        </row>
        <row r="109">
          <cell r="I109">
            <v>36130</v>
          </cell>
          <cell r="J109">
            <v>36173</v>
          </cell>
          <cell r="N109">
            <v>36132</v>
          </cell>
          <cell r="P109">
            <v>36203</v>
          </cell>
        </row>
        <row r="110">
          <cell r="I110">
            <v>36130</v>
          </cell>
          <cell r="J110">
            <v>36173</v>
          </cell>
          <cell r="N110">
            <v>36132</v>
          </cell>
          <cell r="P110">
            <v>36203</v>
          </cell>
        </row>
        <row r="111">
          <cell r="I111">
            <v>36130</v>
          </cell>
          <cell r="J111">
            <v>36173</v>
          </cell>
          <cell r="N111">
            <v>36132</v>
          </cell>
          <cell r="P111">
            <v>36203</v>
          </cell>
        </row>
        <row r="112">
          <cell r="I112">
            <v>36130</v>
          </cell>
          <cell r="J112">
            <v>36173</v>
          </cell>
          <cell r="N112">
            <v>36132</v>
          </cell>
          <cell r="P112">
            <v>36203</v>
          </cell>
        </row>
        <row r="113">
          <cell r="I113">
            <v>36130</v>
          </cell>
          <cell r="J113">
            <v>36173</v>
          </cell>
          <cell r="N113">
            <v>36132</v>
          </cell>
          <cell r="P113">
            <v>36203</v>
          </cell>
        </row>
        <row r="114">
          <cell r="I114">
            <v>36130</v>
          </cell>
          <cell r="J114">
            <v>36173</v>
          </cell>
          <cell r="N114">
            <v>36132</v>
          </cell>
          <cell r="P114">
            <v>36203</v>
          </cell>
        </row>
        <row r="115">
          <cell r="I115">
            <v>36130</v>
          </cell>
          <cell r="J115">
            <v>36173</v>
          </cell>
          <cell r="N115">
            <v>36132</v>
          </cell>
          <cell r="P115">
            <v>36203</v>
          </cell>
        </row>
        <row r="116">
          <cell r="I116">
            <v>36154</v>
          </cell>
          <cell r="J116">
            <v>36173</v>
          </cell>
        </row>
        <row r="117">
          <cell r="I117">
            <v>36147</v>
          </cell>
          <cell r="J117">
            <v>36173</v>
          </cell>
          <cell r="P117">
            <v>36234</v>
          </cell>
        </row>
        <row r="118">
          <cell r="I118">
            <v>36147</v>
          </cell>
          <cell r="J118">
            <v>36173</v>
          </cell>
          <cell r="P118">
            <v>36234</v>
          </cell>
        </row>
        <row r="119">
          <cell r="I119">
            <v>36147</v>
          </cell>
          <cell r="J119">
            <v>36173</v>
          </cell>
          <cell r="P119">
            <v>36234</v>
          </cell>
        </row>
        <row r="120">
          <cell r="I120">
            <v>36147</v>
          </cell>
          <cell r="J120">
            <v>36173</v>
          </cell>
          <cell r="P120">
            <v>36234</v>
          </cell>
        </row>
        <row r="121">
          <cell r="I121">
            <v>36147</v>
          </cell>
          <cell r="J121">
            <v>36173</v>
          </cell>
          <cell r="P121">
            <v>36234</v>
          </cell>
        </row>
        <row r="122">
          <cell r="I122">
            <v>36147</v>
          </cell>
          <cell r="J122">
            <v>36173</v>
          </cell>
          <cell r="P122">
            <v>36234</v>
          </cell>
        </row>
        <row r="123">
          <cell r="I123">
            <v>36147</v>
          </cell>
          <cell r="J123">
            <v>36173</v>
          </cell>
          <cell r="P123">
            <v>36234</v>
          </cell>
        </row>
        <row r="124">
          <cell r="I124">
            <v>36147</v>
          </cell>
          <cell r="J124">
            <v>36173</v>
          </cell>
          <cell r="P124">
            <v>36234</v>
          </cell>
        </row>
        <row r="125">
          <cell r="I125">
            <v>36147</v>
          </cell>
          <cell r="J125">
            <v>36173</v>
          </cell>
          <cell r="P125">
            <v>36234</v>
          </cell>
        </row>
        <row r="126">
          <cell r="I126">
            <v>36147</v>
          </cell>
          <cell r="J126">
            <v>36173</v>
          </cell>
          <cell r="P126">
            <v>36234</v>
          </cell>
        </row>
        <row r="127">
          <cell r="I127">
            <v>36147</v>
          </cell>
          <cell r="J127">
            <v>36173</v>
          </cell>
          <cell r="P127">
            <v>36234</v>
          </cell>
        </row>
        <row r="128">
          <cell r="I128">
            <v>36147</v>
          </cell>
          <cell r="J128">
            <v>36173</v>
          </cell>
          <cell r="P128">
            <v>36234</v>
          </cell>
        </row>
        <row r="129">
          <cell r="I129">
            <v>36147</v>
          </cell>
          <cell r="J129">
            <v>36173</v>
          </cell>
          <cell r="P129">
            <v>36234</v>
          </cell>
        </row>
        <row r="130">
          <cell r="I130">
            <v>36147</v>
          </cell>
          <cell r="J130">
            <v>36173</v>
          </cell>
          <cell r="P130">
            <v>36234</v>
          </cell>
        </row>
        <row r="131">
          <cell r="I131">
            <v>36147</v>
          </cell>
          <cell r="J131">
            <v>36173</v>
          </cell>
          <cell r="P131">
            <v>36234</v>
          </cell>
        </row>
        <row r="132">
          <cell r="I132">
            <v>36147</v>
          </cell>
          <cell r="J132">
            <v>36173</v>
          </cell>
          <cell r="P132">
            <v>36234</v>
          </cell>
        </row>
        <row r="133">
          <cell r="I133">
            <v>36147</v>
          </cell>
          <cell r="J133">
            <v>36173</v>
          </cell>
          <cell r="P133">
            <v>36234</v>
          </cell>
        </row>
        <row r="134">
          <cell r="I134">
            <v>36154</v>
          </cell>
        </row>
        <row r="135">
          <cell r="I135">
            <v>36154</v>
          </cell>
        </row>
        <row r="136">
          <cell r="I136">
            <v>36154</v>
          </cell>
        </row>
        <row r="137">
          <cell r="I137">
            <v>36147</v>
          </cell>
          <cell r="J137">
            <v>36166</v>
          </cell>
          <cell r="P137">
            <v>36234</v>
          </cell>
        </row>
        <row r="138">
          <cell r="I138">
            <v>36147</v>
          </cell>
          <cell r="J138">
            <v>36166</v>
          </cell>
          <cell r="P138">
            <v>36234</v>
          </cell>
        </row>
        <row r="139">
          <cell r="I139">
            <v>36147</v>
          </cell>
          <cell r="J139">
            <v>36166</v>
          </cell>
          <cell r="P139">
            <v>36234</v>
          </cell>
        </row>
        <row r="140">
          <cell r="I140">
            <v>36180</v>
          </cell>
        </row>
        <row r="142">
          <cell r="I142">
            <v>36180</v>
          </cell>
        </row>
        <row r="143">
          <cell r="I143">
            <v>36180</v>
          </cell>
        </row>
        <row r="144">
          <cell r="I144">
            <v>36180</v>
          </cell>
        </row>
        <row r="145">
          <cell r="I145">
            <v>36180</v>
          </cell>
        </row>
        <row r="146">
          <cell r="I146">
            <v>36180</v>
          </cell>
        </row>
        <row r="147">
          <cell r="I147">
            <v>36154</v>
          </cell>
          <cell r="J147">
            <v>36173</v>
          </cell>
          <cell r="P147">
            <v>36234</v>
          </cell>
        </row>
        <row r="148">
          <cell r="I148">
            <v>36154</v>
          </cell>
          <cell r="J148">
            <v>36173</v>
          </cell>
          <cell r="P148">
            <v>36234</v>
          </cell>
        </row>
        <row r="149">
          <cell r="I149">
            <v>36154</v>
          </cell>
          <cell r="J149">
            <v>36173</v>
          </cell>
          <cell r="P149">
            <v>36234</v>
          </cell>
        </row>
        <row r="150">
          <cell r="I150">
            <v>36154</v>
          </cell>
          <cell r="J150">
            <v>36173</v>
          </cell>
          <cell r="P150">
            <v>36234</v>
          </cell>
        </row>
        <row r="151">
          <cell r="I151">
            <v>36154</v>
          </cell>
          <cell r="J151">
            <v>36173</v>
          </cell>
          <cell r="P151">
            <v>36234</v>
          </cell>
        </row>
        <row r="152">
          <cell r="I152">
            <v>36154</v>
          </cell>
          <cell r="J152">
            <v>36173</v>
          </cell>
          <cell r="P152">
            <v>36234</v>
          </cell>
        </row>
        <row r="153">
          <cell r="I153">
            <v>36105</v>
          </cell>
          <cell r="J153">
            <v>36153</v>
          </cell>
          <cell r="N153">
            <v>36180</v>
          </cell>
          <cell r="P153">
            <v>36219</v>
          </cell>
        </row>
        <row r="154">
          <cell r="I154">
            <v>36105</v>
          </cell>
          <cell r="J154">
            <v>36153</v>
          </cell>
          <cell r="N154">
            <v>36180</v>
          </cell>
          <cell r="P154">
            <v>36219</v>
          </cell>
        </row>
        <row r="155">
          <cell r="I155">
            <v>36105</v>
          </cell>
          <cell r="J155">
            <v>36153</v>
          </cell>
          <cell r="N155">
            <v>36180</v>
          </cell>
          <cell r="P155">
            <v>36219</v>
          </cell>
        </row>
        <row r="156">
          <cell r="I156">
            <v>36105</v>
          </cell>
          <cell r="J156">
            <v>36153</v>
          </cell>
          <cell r="N156">
            <v>36180</v>
          </cell>
          <cell r="P156">
            <v>36215</v>
          </cell>
        </row>
        <row r="157">
          <cell r="I157">
            <v>36105</v>
          </cell>
          <cell r="J157">
            <v>36153</v>
          </cell>
          <cell r="N157">
            <v>36180</v>
          </cell>
          <cell r="P157">
            <v>36219</v>
          </cell>
        </row>
        <row r="158">
          <cell r="I158">
            <v>36105</v>
          </cell>
          <cell r="J158">
            <v>36153</v>
          </cell>
          <cell r="N158">
            <v>36180</v>
          </cell>
          <cell r="P158">
            <v>36210</v>
          </cell>
        </row>
        <row r="159">
          <cell r="I159">
            <v>36105</v>
          </cell>
          <cell r="J159">
            <v>36153</v>
          </cell>
          <cell r="N159">
            <v>36180</v>
          </cell>
          <cell r="P159">
            <v>36215</v>
          </cell>
        </row>
        <row r="160">
          <cell r="I160">
            <v>36133</v>
          </cell>
          <cell r="J160">
            <v>36120</v>
          </cell>
          <cell r="P160">
            <v>36195</v>
          </cell>
        </row>
        <row r="161">
          <cell r="I161">
            <v>36124</v>
          </cell>
          <cell r="J161">
            <v>36124</v>
          </cell>
          <cell r="N161">
            <v>36180</v>
          </cell>
          <cell r="P161">
            <v>36224</v>
          </cell>
        </row>
        <row r="162">
          <cell r="I162">
            <v>36124</v>
          </cell>
          <cell r="J162">
            <v>36124</v>
          </cell>
          <cell r="N162">
            <v>36180</v>
          </cell>
          <cell r="P162">
            <v>36213</v>
          </cell>
        </row>
        <row r="163">
          <cell r="I163">
            <v>36124</v>
          </cell>
          <cell r="J163">
            <v>36124</v>
          </cell>
          <cell r="N163">
            <v>36180</v>
          </cell>
          <cell r="P163">
            <v>36227</v>
          </cell>
        </row>
        <row r="164">
          <cell r="I164">
            <v>36137</v>
          </cell>
          <cell r="J164">
            <v>36137</v>
          </cell>
          <cell r="P164">
            <v>36191</v>
          </cell>
        </row>
        <row r="165">
          <cell r="I165">
            <v>36141</v>
          </cell>
          <cell r="J165">
            <v>36173</v>
          </cell>
        </row>
        <row r="166">
          <cell r="I166">
            <v>36141</v>
          </cell>
          <cell r="J166">
            <v>36173</v>
          </cell>
        </row>
        <row r="167">
          <cell r="I167">
            <v>36141</v>
          </cell>
          <cell r="J167">
            <v>36173</v>
          </cell>
        </row>
        <row r="168">
          <cell r="I168">
            <v>36141</v>
          </cell>
          <cell r="J168">
            <v>36173</v>
          </cell>
        </row>
        <row r="169">
          <cell r="I169">
            <v>36141</v>
          </cell>
          <cell r="J169">
            <v>36173</v>
          </cell>
        </row>
        <row r="170">
          <cell r="I170">
            <v>36141</v>
          </cell>
          <cell r="J170">
            <v>36173</v>
          </cell>
        </row>
        <row r="171">
          <cell r="I171">
            <v>36141</v>
          </cell>
          <cell r="J171">
            <v>36173</v>
          </cell>
        </row>
        <row r="172">
          <cell r="I172">
            <v>36141</v>
          </cell>
          <cell r="J172">
            <v>36173</v>
          </cell>
        </row>
        <row r="173">
          <cell r="I173">
            <v>36141</v>
          </cell>
          <cell r="J173">
            <v>36173</v>
          </cell>
        </row>
        <row r="174">
          <cell r="I174">
            <v>36141</v>
          </cell>
          <cell r="J174">
            <v>36173</v>
          </cell>
        </row>
        <row r="175">
          <cell r="I175">
            <v>36105</v>
          </cell>
          <cell r="J175">
            <v>36153</v>
          </cell>
          <cell r="N175">
            <v>36180</v>
          </cell>
          <cell r="P175">
            <v>36235</v>
          </cell>
        </row>
        <row r="176">
          <cell r="I176">
            <v>36105</v>
          </cell>
          <cell r="J176">
            <v>36153</v>
          </cell>
          <cell r="N176">
            <v>36180</v>
          </cell>
          <cell r="P176">
            <v>36235</v>
          </cell>
        </row>
        <row r="177">
          <cell r="I177">
            <v>36105</v>
          </cell>
          <cell r="J177">
            <v>36153</v>
          </cell>
          <cell r="N177">
            <v>36180</v>
          </cell>
          <cell r="P177">
            <v>36235</v>
          </cell>
        </row>
        <row r="178">
          <cell r="I178">
            <v>36105</v>
          </cell>
          <cell r="J178">
            <v>36153</v>
          </cell>
          <cell r="N178">
            <v>36180</v>
          </cell>
          <cell r="P178">
            <v>36229</v>
          </cell>
        </row>
        <row r="179">
          <cell r="I179">
            <v>36105</v>
          </cell>
          <cell r="J179">
            <v>36153</v>
          </cell>
          <cell r="N179">
            <v>36180</v>
          </cell>
          <cell r="P179">
            <v>36235</v>
          </cell>
        </row>
        <row r="180">
          <cell r="I180">
            <v>36105</v>
          </cell>
          <cell r="J180">
            <v>36153</v>
          </cell>
          <cell r="N180">
            <v>36180</v>
          </cell>
          <cell r="P180">
            <v>36238</v>
          </cell>
        </row>
        <row r="181">
          <cell r="I181">
            <v>36105</v>
          </cell>
          <cell r="J181">
            <v>36153</v>
          </cell>
          <cell r="N181">
            <v>36180</v>
          </cell>
          <cell r="P181">
            <v>36238</v>
          </cell>
        </row>
        <row r="182">
          <cell r="I182">
            <v>36133</v>
          </cell>
          <cell r="J182">
            <v>36120</v>
          </cell>
          <cell r="P182">
            <v>36209</v>
          </cell>
        </row>
        <row r="183">
          <cell r="I183">
            <v>36124</v>
          </cell>
          <cell r="J183">
            <v>36124</v>
          </cell>
          <cell r="P183">
            <v>36209</v>
          </cell>
        </row>
        <row r="184">
          <cell r="I184">
            <v>36173</v>
          </cell>
          <cell r="J184">
            <v>36173</v>
          </cell>
          <cell r="P184">
            <v>36219</v>
          </cell>
        </row>
        <row r="185">
          <cell r="I185">
            <v>36173</v>
          </cell>
          <cell r="J185">
            <v>36173</v>
          </cell>
          <cell r="P185">
            <v>36219</v>
          </cell>
        </row>
        <row r="186">
          <cell r="I186">
            <v>36173</v>
          </cell>
          <cell r="J186">
            <v>36173</v>
          </cell>
          <cell r="P186">
            <v>36219</v>
          </cell>
        </row>
        <row r="187">
          <cell r="I187">
            <v>36173</v>
          </cell>
          <cell r="J187">
            <v>36173</v>
          </cell>
          <cell r="P187">
            <v>36219</v>
          </cell>
        </row>
        <row r="188">
          <cell r="I188">
            <v>36173</v>
          </cell>
          <cell r="J188">
            <v>36173</v>
          </cell>
          <cell r="P188">
            <v>36219</v>
          </cell>
        </row>
        <row r="189">
          <cell r="I189">
            <v>36173</v>
          </cell>
          <cell r="J189">
            <v>36173</v>
          </cell>
          <cell r="P189">
            <v>36219</v>
          </cell>
        </row>
        <row r="190">
          <cell r="I190">
            <v>36173</v>
          </cell>
          <cell r="J190">
            <v>36173</v>
          </cell>
          <cell r="P190">
            <v>36219</v>
          </cell>
        </row>
        <row r="191">
          <cell r="I191">
            <v>36173</v>
          </cell>
          <cell r="J191">
            <v>36173</v>
          </cell>
          <cell r="P191">
            <v>36219</v>
          </cell>
        </row>
        <row r="192">
          <cell r="I192">
            <v>36105</v>
          </cell>
          <cell r="J192">
            <v>36153</v>
          </cell>
        </row>
      </sheetData>
      <sheetData sheetId="1">
        <row r="1">
          <cell r="A1" t="str">
            <v>MODEL 00TF,M/C</v>
          </cell>
        </row>
        <row r="3">
          <cell r="A3" t="str">
            <v>RESPOND</v>
          </cell>
        </row>
        <row r="4">
          <cell r="A4" t="str">
            <v>VENDER</v>
          </cell>
        </row>
        <row r="7">
          <cell r="A7" t="str">
            <v>QC</v>
          </cell>
        </row>
        <row r="8">
          <cell r="A8" t="str">
            <v>ASM</v>
          </cell>
        </row>
        <row r="9">
          <cell r="A9" t="str">
            <v>QC</v>
          </cell>
        </row>
        <row r="10">
          <cell r="A10" t="str">
            <v>ITCT</v>
          </cell>
        </row>
        <row r="13">
          <cell r="A13" t="str">
            <v>NO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/>
      <sheetData sheetId="507"/>
      <sheetData sheetId="508" refreshError="1"/>
      <sheetData sheetId="509" refreshError="1"/>
      <sheetData sheetId="510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 refreshError="1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(pcs.)"/>
      <sheetName val="เปรียบเทียบ CAP &amp;  ยอดขาย"/>
      <sheetName val="Forecast เทียบเปรียบ)"/>
    </sheetNames>
    <sheetDataSet>
      <sheetData sheetId="0">
        <row r="1">
          <cell r="A1" t="str">
            <v>update 17.3.29</v>
          </cell>
        </row>
        <row r="4">
          <cell r="Q4">
            <v>720</v>
          </cell>
          <cell r="R4">
            <v>648</v>
          </cell>
          <cell r="S4">
            <v>696</v>
          </cell>
          <cell r="T4">
            <v>720</v>
          </cell>
          <cell r="U4">
            <v>840</v>
          </cell>
          <cell r="V4">
            <v>720</v>
          </cell>
          <cell r="W4">
            <v>984</v>
          </cell>
          <cell r="X4">
            <v>1008</v>
          </cell>
          <cell r="Y4">
            <v>984</v>
          </cell>
          <cell r="Z4">
            <v>864</v>
          </cell>
          <cell r="AA4">
            <v>936</v>
          </cell>
          <cell r="AB4">
            <v>1128</v>
          </cell>
        </row>
        <row r="5">
          <cell r="Q5">
            <v>664</v>
          </cell>
          <cell r="R5">
            <v>512</v>
          </cell>
          <cell r="S5">
            <v>765</v>
          </cell>
          <cell r="T5">
            <v>1056</v>
          </cell>
          <cell r="U5">
            <v>1536</v>
          </cell>
          <cell r="V5">
            <v>624</v>
          </cell>
          <cell r="W5">
            <v>408</v>
          </cell>
          <cell r="X5">
            <v>528</v>
          </cell>
          <cell r="Y5">
            <v>600</v>
          </cell>
          <cell r="Z5">
            <v>504</v>
          </cell>
          <cell r="AA5">
            <v>576</v>
          </cell>
          <cell r="AB5">
            <v>504</v>
          </cell>
        </row>
        <row r="6">
          <cell r="Q6">
            <v>414</v>
          </cell>
          <cell r="R6">
            <v>229</v>
          </cell>
          <cell r="S6">
            <v>468</v>
          </cell>
          <cell r="T6">
            <v>240</v>
          </cell>
          <cell r="U6">
            <v>336</v>
          </cell>
          <cell r="V6">
            <v>144</v>
          </cell>
          <cell r="W6">
            <v>264</v>
          </cell>
          <cell r="X6">
            <v>288</v>
          </cell>
          <cell r="Y6">
            <v>312</v>
          </cell>
          <cell r="Z6">
            <v>264</v>
          </cell>
          <cell r="AA6">
            <v>288</v>
          </cell>
          <cell r="AB6">
            <v>264</v>
          </cell>
        </row>
        <row r="7">
          <cell r="Q7">
            <v>199</v>
          </cell>
          <cell r="R7">
            <v>245</v>
          </cell>
          <cell r="S7">
            <v>151</v>
          </cell>
          <cell r="T7">
            <v>192</v>
          </cell>
          <cell r="U7">
            <v>192</v>
          </cell>
          <cell r="V7">
            <v>192</v>
          </cell>
          <cell r="W7">
            <v>192</v>
          </cell>
          <cell r="X7">
            <v>192</v>
          </cell>
          <cell r="Y7">
            <v>240</v>
          </cell>
          <cell r="Z7">
            <v>192</v>
          </cell>
          <cell r="AA7">
            <v>192</v>
          </cell>
          <cell r="AB7">
            <v>192</v>
          </cell>
        </row>
        <row r="8">
          <cell r="Q8">
            <v>820</v>
          </cell>
          <cell r="R8">
            <v>433</v>
          </cell>
          <cell r="S8">
            <v>912</v>
          </cell>
          <cell r="T8">
            <v>480</v>
          </cell>
          <cell r="U8">
            <v>672</v>
          </cell>
          <cell r="V8">
            <v>288</v>
          </cell>
          <cell r="W8">
            <v>528</v>
          </cell>
          <cell r="X8">
            <v>576</v>
          </cell>
          <cell r="Y8">
            <v>624</v>
          </cell>
          <cell r="Z8">
            <v>528</v>
          </cell>
          <cell r="AA8">
            <v>576</v>
          </cell>
          <cell r="AB8">
            <v>528</v>
          </cell>
        </row>
        <row r="9"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Q10">
            <v>48</v>
          </cell>
          <cell r="R10">
            <v>96</v>
          </cell>
          <cell r="S10">
            <v>0</v>
          </cell>
          <cell r="T10">
            <v>96</v>
          </cell>
          <cell r="U10">
            <v>96</v>
          </cell>
          <cell r="V10">
            <v>96</v>
          </cell>
          <cell r="W10">
            <v>48</v>
          </cell>
          <cell r="X10">
            <v>96</v>
          </cell>
          <cell r="Y10">
            <v>96</v>
          </cell>
          <cell r="Z10">
            <v>96</v>
          </cell>
          <cell r="AA10">
            <v>96</v>
          </cell>
          <cell r="AB10">
            <v>96</v>
          </cell>
        </row>
        <row r="11">
          <cell r="Q11">
            <v>1464</v>
          </cell>
          <cell r="R11">
            <v>1368</v>
          </cell>
          <cell r="S11">
            <v>480</v>
          </cell>
          <cell r="T11">
            <v>768</v>
          </cell>
          <cell r="U11">
            <v>1488</v>
          </cell>
          <cell r="V11">
            <v>816</v>
          </cell>
          <cell r="W11">
            <v>1080</v>
          </cell>
          <cell r="X11">
            <v>1056</v>
          </cell>
          <cell r="Y11">
            <v>1080</v>
          </cell>
          <cell r="Z11">
            <v>984</v>
          </cell>
          <cell r="AA11">
            <v>984</v>
          </cell>
          <cell r="AB11">
            <v>408</v>
          </cell>
        </row>
        <row r="12">
          <cell r="Q12">
            <v>1473</v>
          </cell>
          <cell r="R12">
            <v>1318</v>
          </cell>
          <cell r="S12">
            <v>1428</v>
          </cell>
          <cell r="T12">
            <v>1464</v>
          </cell>
          <cell r="U12">
            <v>1692</v>
          </cell>
          <cell r="V12">
            <v>1440</v>
          </cell>
          <cell r="W12">
            <v>1980</v>
          </cell>
          <cell r="X12">
            <v>2040</v>
          </cell>
          <cell r="Y12">
            <v>1980</v>
          </cell>
          <cell r="Z12">
            <v>1752</v>
          </cell>
          <cell r="AA12">
            <v>1884</v>
          </cell>
          <cell r="AB12">
            <v>2268</v>
          </cell>
        </row>
        <row r="13">
          <cell r="Q13">
            <v>48</v>
          </cell>
          <cell r="R13">
            <v>24</v>
          </cell>
          <cell r="S13">
            <v>72</v>
          </cell>
          <cell r="T13">
            <v>48</v>
          </cell>
          <cell r="U13">
            <v>24</v>
          </cell>
          <cell r="V13">
            <v>24</v>
          </cell>
          <cell r="W13">
            <v>24</v>
          </cell>
          <cell r="X13">
            <v>48</v>
          </cell>
          <cell r="Y13">
            <v>24</v>
          </cell>
          <cell r="Z13">
            <v>48</v>
          </cell>
          <cell r="AA13">
            <v>24</v>
          </cell>
          <cell r="AB13">
            <v>24</v>
          </cell>
        </row>
        <row r="14">
          <cell r="Q14">
            <v>504</v>
          </cell>
          <cell r="R14">
            <v>409</v>
          </cell>
          <cell r="S14">
            <v>343</v>
          </cell>
          <cell r="T14">
            <v>96</v>
          </cell>
          <cell r="U14">
            <v>528</v>
          </cell>
          <cell r="V14">
            <v>192</v>
          </cell>
          <cell r="W14">
            <v>408</v>
          </cell>
          <cell r="X14">
            <v>384</v>
          </cell>
          <cell r="Y14">
            <v>408</v>
          </cell>
          <cell r="Z14">
            <v>360</v>
          </cell>
          <cell r="AA14">
            <v>408</v>
          </cell>
          <cell r="AB14">
            <v>312</v>
          </cell>
        </row>
        <row r="15"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Q16">
            <v>337</v>
          </cell>
          <cell r="R16">
            <v>363</v>
          </cell>
          <cell r="S16">
            <v>240</v>
          </cell>
          <cell r="T16">
            <v>264</v>
          </cell>
          <cell r="U16">
            <v>288</v>
          </cell>
          <cell r="V16">
            <v>216</v>
          </cell>
          <cell r="W16">
            <v>144</v>
          </cell>
          <cell r="X16">
            <v>264</v>
          </cell>
          <cell r="Y16">
            <v>72</v>
          </cell>
          <cell r="Z16">
            <v>288</v>
          </cell>
          <cell r="AA16">
            <v>144</v>
          </cell>
          <cell r="AB16">
            <v>216</v>
          </cell>
        </row>
        <row r="17">
          <cell r="Q17">
            <v>20</v>
          </cell>
          <cell r="R17">
            <v>6</v>
          </cell>
          <cell r="S17">
            <v>4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Q20">
            <v>59400</v>
          </cell>
          <cell r="R20">
            <v>59400</v>
          </cell>
          <cell r="S20">
            <v>64800</v>
          </cell>
          <cell r="T20">
            <v>68400</v>
          </cell>
          <cell r="U20">
            <v>77075</v>
          </cell>
          <cell r="V20">
            <v>78553</v>
          </cell>
          <cell r="W20">
            <v>64843.781907710589</v>
          </cell>
          <cell r="X20">
            <v>62302.091296550585</v>
          </cell>
          <cell r="Y20">
            <v>64861.87223234518</v>
          </cell>
          <cell r="Z20">
            <v>65462.22432396857</v>
          </cell>
          <cell r="AA20">
            <v>63748.988300402874</v>
          </cell>
          <cell r="AB20">
            <v>53358.703386577312</v>
          </cell>
        </row>
        <row r="21"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Q23">
            <v>2800</v>
          </cell>
          <cell r="R23">
            <v>4000</v>
          </cell>
          <cell r="S23">
            <v>2000</v>
          </cell>
          <cell r="T23">
            <v>1600</v>
          </cell>
          <cell r="U23">
            <v>3073</v>
          </cell>
          <cell r="V23">
            <v>3150</v>
          </cell>
          <cell r="W23">
            <v>3898.2842585419144</v>
          </cell>
          <cell r="X23">
            <v>3344.1809606307347</v>
          </cell>
          <cell r="Y23">
            <v>3481.5819770448297</v>
          </cell>
          <cell r="Z23">
            <v>3513.8069953821027</v>
          </cell>
          <cell r="AA23">
            <v>3421.8458561676262</v>
          </cell>
          <cell r="AB23">
            <v>2864.1279327201992</v>
          </cell>
        </row>
        <row r="24">
          <cell r="Q24">
            <v>27000</v>
          </cell>
          <cell r="R24">
            <v>36000</v>
          </cell>
          <cell r="S24">
            <v>27000</v>
          </cell>
          <cell r="T24">
            <v>18000</v>
          </cell>
          <cell r="U24">
            <v>24526</v>
          </cell>
          <cell r="V24">
            <v>21320</v>
          </cell>
          <cell r="W24">
            <v>28192.948655526343</v>
          </cell>
          <cell r="X24">
            <v>27087.865781108951</v>
          </cell>
          <cell r="Y24">
            <v>28200.814014063122</v>
          </cell>
          <cell r="Z24">
            <v>28461.836662595033</v>
          </cell>
          <cell r="AA24">
            <v>27716.951434957773</v>
          </cell>
          <cell r="AB24">
            <v>23199.436255033615</v>
          </cell>
        </row>
        <row r="25">
          <cell r="Q25">
            <v>16200</v>
          </cell>
          <cell r="R25">
            <v>16200</v>
          </cell>
          <cell r="S25">
            <v>16200</v>
          </cell>
          <cell r="T25">
            <v>10800</v>
          </cell>
          <cell r="U25">
            <v>14078</v>
          </cell>
          <cell r="V25">
            <v>12435</v>
          </cell>
          <cell r="W25">
            <v>14096.474327763171</v>
          </cell>
          <cell r="X25">
            <v>13543.932890554475</v>
          </cell>
          <cell r="Y25">
            <v>14100.407007031561</v>
          </cell>
          <cell r="Z25">
            <v>14230.918331297516</v>
          </cell>
          <cell r="AA25">
            <v>13858.475717478887</v>
          </cell>
          <cell r="AB25">
            <v>11599.718127516808</v>
          </cell>
        </row>
        <row r="26"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Q27">
            <v>600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276.70857013757336</v>
          </cell>
          <cell r="X27">
            <v>265.86238637014338</v>
          </cell>
          <cell r="Y27">
            <v>276.78576717506394</v>
          </cell>
          <cell r="Z27">
            <v>279.34765613287715</v>
          </cell>
          <cell r="AA27">
            <v>272.03674556532627</v>
          </cell>
          <cell r="AB27">
            <v>227.69817065125585</v>
          </cell>
        </row>
        <row r="28"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Q29">
            <v>58320</v>
          </cell>
          <cell r="R29">
            <v>62640</v>
          </cell>
          <cell r="S29">
            <v>66960</v>
          </cell>
          <cell r="T29">
            <v>60480</v>
          </cell>
          <cell r="U29">
            <v>65603</v>
          </cell>
          <cell r="V29">
            <v>69012</v>
          </cell>
          <cell r="W29">
            <v>62024.487042157954</v>
          </cell>
          <cell r="X29">
            <v>58509.790087195332</v>
          </cell>
          <cell r="Y29">
            <v>60913.75827037634</v>
          </cell>
          <cell r="Z29">
            <v>61477.567191205271</v>
          </cell>
          <cell r="AA29">
            <v>59868.615099508788</v>
          </cell>
          <cell r="AB29">
            <v>50110.782310872608</v>
          </cell>
        </row>
        <row r="30">
          <cell r="Q30">
            <v>0</v>
          </cell>
          <cell r="R30">
            <v>0</v>
          </cell>
          <cell r="S30">
            <v>500</v>
          </cell>
          <cell r="T30">
            <v>0</v>
          </cell>
          <cell r="U30">
            <v>0</v>
          </cell>
          <cell r="V30">
            <v>0</v>
          </cell>
          <cell r="W30">
            <v>87.015273628167719</v>
          </cell>
          <cell r="X30">
            <v>83.604524015768362</v>
          </cell>
          <cell r="Y30">
            <v>87.039549426120743</v>
          </cell>
          <cell r="Z30">
            <v>87.845174884552563</v>
          </cell>
          <cell r="AA30">
            <v>85.546146404190651</v>
          </cell>
          <cell r="AB30">
            <v>71.603198318004971</v>
          </cell>
        </row>
        <row r="31"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</row>
        <row r="33"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Q34">
            <v>54000</v>
          </cell>
          <cell r="R34">
            <v>65760</v>
          </cell>
          <cell r="S34">
            <v>66960</v>
          </cell>
          <cell r="T34">
            <v>66960</v>
          </cell>
          <cell r="U34">
            <v>72648</v>
          </cell>
          <cell r="V34">
            <v>74744</v>
          </cell>
          <cell r="W34">
            <v>63695.180295818776</v>
          </cell>
          <cell r="X34">
            <v>61198.511579542443</v>
          </cell>
          <cell r="Y34">
            <v>63712.950179920386</v>
          </cell>
          <cell r="Z34">
            <v>64302.668015492483</v>
          </cell>
          <cell r="AA34">
            <v>62619.779167867557</v>
          </cell>
          <cell r="AB34">
            <v>52413.541168779644</v>
          </cell>
        </row>
        <row r="35">
          <cell r="Q35">
            <v>1800</v>
          </cell>
          <cell r="R35">
            <v>2400</v>
          </cell>
          <cell r="S35">
            <v>2100</v>
          </cell>
          <cell r="T35">
            <v>1200</v>
          </cell>
          <cell r="U35">
            <v>1871</v>
          </cell>
          <cell r="V35">
            <v>1516</v>
          </cell>
          <cell r="W35">
            <v>1983.9482387222242</v>
          </cell>
          <cell r="X35">
            <v>1906.1831475595186</v>
          </cell>
          <cell r="Y35">
            <v>1984.501726915553</v>
          </cell>
          <cell r="Z35">
            <v>2002.8699873677986</v>
          </cell>
          <cell r="AA35">
            <v>1950.4521380155468</v>
          </cell>
          <cell r="AB35">
            <v>1632.5529216505136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Q37">
            <v>56160</v>
          </cell>
          <cell r="R37">
            <v>60480</v>
          </cell>
          <cell r="S37">
            <v>64800</v>
          </cell>
          <cell r="T37">
            <v>64800</v>
          </cell>
          <cell r="U37">
            <v>71903</v>
          </cell>
          <cell r="V37">
            <v>73955</v>
          </cell>
          <cell r="W37">
            <v>62400.393024231642</v>
          </cell>
          <cell r="X37">
            <v>59954.476262187811</v>
          </cell>
          <cell r="Y37">
            <v>62417.801684459708</v>
          </cell>
          <cell r="Z37">
            <v>62995.531813210335</v>
          </cell>
          <cell r="AA37">
            <v>61346.852509373202</v>
          </cell>
          <cell r="AB37">
            <v>51348.085577807731</v>
          </cell>
        </row>
        <row r="38">
          <cell r="Q38">
            <v>21600</v>
          </cell>
          <cell r="R38">
            <v>21603</v>
          </cell>
          <cell r="S38">
            <v>21600</v>
          </cell>
          <cell r="T38">
            <v>18000</v>
          </cell>
          <cell r="U38">
            <v>21713</v>
          </cell>
          <cell r="V38">
            <v>19319</v>
          </cell>
          <cell r="W38">
            <v>21928.371045940035</v>
          </cell>
          <cell r="X38">
            <v>21068.841679117722</v>
          </cell>
          <cell r="Y38">
            <v>21934.488692678984</v>
          </cell>
          <cell r="Z38">
            <v>22137.511141956555</v>
          </cell>
          <cell r="AA38">
            <v>21558.142170734471</v>
          </cell>
          <cell r="AB38">
            <v>18044.435595327162</v>
          </cell>
        </row>
        <row r="39">
          <cell r="Q39">
            <v>1800</v>
          </cell>
          <cell r="R39">
            <v>0</v>
          </cell>
          <cell r="S39">
            <v>1800</v>
          </cell>
          <cell r="T39">
            <v>0</v>
          </cell>
          <cell r="U39">
            <v>1800</v>
          </cell>
          <cell r="V39">
            <v>0</v>
          </cell>
          <cell r="W39">
            <v>1253.0199402456153</v>
          </cell>
          <cell r="X39">
            <v>1203.9051458270644</v>
          </cell>
          <cell r="Y39">
            <v>1253.3695117361387</v>
          </cell>
          <cell r="Z39">
            <v>1264.970518337557</v>
          </cell>
          <cell r="AA39">
            <v>1231.8645082203454</v>
          </cell>
          <cell r="AB39">
            <v>1031.0860557792716</v>
          </cell>
        </row>
        <row r="40">
          <cell r="Q40">
            <v>0</v>
          </cell>
          <cell r="R40">
            <v>0</v>
          </cell>
          <cell r="S40">
            <v>100</v>
          </cell>
          <cell r="T40">
            <v>0</v>
          </cell>
          <cell r="U40">
            <v>0</v>
          </cell>
          <cell r="V40">
            <v>0</v>
          </cell>
          <cell r="W40">
            <v>17.403054725633545</v>
          </cell>
          <cell r="X40">
            <v>16.720904803153672</v>
          </cell>
          <cell r="Y40">
            <v>17.40790988522415</v>
          </cell>
          <cell r="Z40">
            <v>17.569034976910515</v>
          </cell>
          <cell r="AA40">
            <v>17.109229280838132</v>
          </cell>
          <cell r="AB40">
            <v>14.320639663600998</v>
          </cell>
        </row>
        <row r="41"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Q42">
            <v>3000</v>
          </cell>
          <cell r="R42">
            <v>3000</v>
          </cell>
          <cell r="S42">
            <v>4500</v>
          </cell>
          <cell r="T42">
            <v>3000</v>
          </cell>
          <cell r="U42">
            <v>5553</v>
          </cell>
          <cell r="V42">
            <v>3118</v>
          </cell>
          <cell r="W42">
            <v>3393.5956714985414</v>
          </cell>
          <cell r="X42">
            <v>3260.576436614966</v>
          </cell>
          <cell r="Y42">
            <v>3394.5424276187091</v>
          </cell>
          <cell r="Z42">
            <v>3425.96182049755</v>
          </cell>
          <cell r="AA42">
            <v>3336.2997097634352</v>
          </cell>
          <cell r="AB42">
            <v>2792.5247344021941</v>
          </cell>
        </row>
        <row r="43">
          <cell r="Q43">
            <v>0</v>
          </cell>
          <cell r="R43">
            <v>2160</v>
          </cell>
          <cell r="S43">
            <v>2160</v>
          </cell>
          <cell r="T43">
            <v>0</v>
          </cell>
          <cell r="U43">
            <v>0</v>
          </cell>
          <cell r="V43">
            <v>2160</v>
          </cell>
          <cell r="W43">
            <v>751.81196414736917</v>
          </cell>
          <cell r="X43">
            <v>722.3430874962387</v>
          </cell>
          <cell r="Y43">
            <v>752.02170704168327</v>
          </cell>
          <cell r="Z43">
            <v>758.98231100253417</v>
          </cell>
          <cell r="AA43">
            <v>739.11870493220727</v>
          </cell>
          <cell r="AB43">
            <v>618.65163346756299</v>
          </cell>
        </row>
        <row r="44">
          <cell r="Q44">
            <v>0</v>
          </cell>
          <cell r="R44">
            <v>5000</v>
          </cell>
          <cell r="S44">
            <v>6000</v>
          </cell>
          <cell r="T44">
            <v>3400</v>
          </cell>
          <cell r="U44">
            <v>3200</v>
          </cell>
          <cell r="V44">
            <v>3400</v>
          </cell>
          <cell r="W44">
            <v>2600</v>
          </cell>
          <cell r="X44">
            <v>2200</v>
          </cell>
          <cell r="Y44">
            <v>2600</v>
          </cell>
          <cell r="Z44">
            <v>2600</v>
          </cell>
          <cell r="AA44">
            <v>1800</v>
          </cell>
          <cell r="AB44">
            <v>2000</v>
          </cell>
        </row>
        <row r="45">
          <cell r="Q45">
            <v>0</v>
          </cell>
          <cell r="R45">
            <v>0</v>
          </cell>
          <cell r="S45">
            <v>200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Q48">
            <v>202</v>
          </cell>
          <cell r="R48">
            <v>3198</v>
          </cell>
          <cell r="S48">
            <v>8278</v>
          </cell>
          <cell r="T48">
            <v>10000</v>
          </cell>
          <cell r="U48">
            <v>5414</v>
          </cell>
          <cell r="V48">
            <v>3794</v>
          </cell>
          <cell r="W48">
            <v>3986</v>
          </cell>
          <cell r="X48">
            <v>3132</v>
          </cell>
          <cell r="Y48">
            <v>2414</v>
          </cell>
          <cell r="Z48">
            <v>3708</v>
          </cell>
          <cell r="AA48">
            <v>4130</v>
          </cell>
          <cell r="AB48">
            <v>4584</v>
          </cell>
        </row>
        <row r="49">
          <cell r="Q49">
            <v>2500</v>
          </cell>
          <cell r="R49">
            <v>12980</v>
          </cell>
          <cell r="S49">
            <v>24000</v>
          </cell>
          <cell r="T49">
            <v>14000</v>
          </cell>
          <cell r="U49">
            <v>13376</v>
          </cell>
          <cell r="V49">
            <v>6444</v>
          </cell>
          <cell r="W49">
            <v>6612</v>
          </cell>
          <cell r="X49">
            <v>4948</v>
          </cell>
          <cell r="Y49">
            <v>4342</v>
          </cell>
          <cell r="Z49">
            <v>10038</v>
          </cell>
          <cell r="AA49">
            <v>7396</v>
          </cell>
          <cell r="AB49">
            <v>9626</v>
          </cell>
        </row>
        <row r="50">
          <cell r="Q50">
            <v>1400</v>
          </cell>
          <cell r="R50">
            <v>0</v>
          </cell>
          <cell r="S50">
            <v>12800</v>
          </cell>
          <cell r="T50">
            <v>10000</v>
          </cell>
          <cell r="U50">
            <v>5414</v>
          </cell>
          <cell r="V50">
            <v>3794</v>
          </cell>
          <cell r="W50">
            <v>3986</v>
          </cell>
          <cell r="X50">
            <v>3132</v>
          </cell>
          <cell r="Y50">
            <v>2414</v>
          </cell>
          <cell r="Z50">
            <v>3852</v>
          </cell>
          <cell r="AA50">
            <v>4130</v>
          </cell>
          <cell r="AB50">
            <v>4584</v>
          </cell>
        </row>
        <row r="51">
          <cell r="Q51">
            <v>7008</v>
          </cell>
          <cell r="R51">
            <v>1680</v>
          </cell>
          <cell r="S51">
            <v>4100</v>
          </cell>
          <cell r="T51">
            <v>2000</v>
          </cell>
          <cell r="U51">
            <v>2331</v>
          </cell>
          <cell r="V51">
            <v>1345</v>
          </cell>
          <cell r="W51">
            <v>2133</v>
          </cell>
          <cell r="X51">
            <v>1824</v>
          </cell>
          <cell r="Y51">
            <v>1286</v>
          </cell>
          <cell r="Z51">
            <v>2653</v>
          </cell>
          <cell r="AA51">
            <v>1777</v>
          </cell>
          <cell r="AB51">
            <v>1575</v>
          </cell>
        </row>
        <row r="52"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Q53">
            <v>0</v>
          </cell>
          <cell r="R53">
            <v>1100</v>
          </cell>
          <cell r="S53">
            <v>1071</v>
          </cell>
          <cell r="T53">
            <v>800</v>
          </cell>
          <cell r="U53">
            <v>210</v>
          </cell>
          <cell r="V53">
            <v>648</v>
          </cell>
          <cell r="W53">
            <v>446</v>
          </cell>
          <cell r="X53">
            <v>416</v>
          </cell>
          <cell r="Y53">
            <v>302</v>
          </cell>
          <cell r="Z53">
            <v>340</v>
          </cell>
          <cell r="AA53">
            <v>360</v>
          </cell>
          <cell r="AB53">
            <v>264</v>
          </cell>
        </row>
        <row r="54">
          <cell r="Q54">
            <v>194</v>
          </cell>
          <cell r="R54">
            <v>606</v>
          </cell>
          <cell r="S54">
            <v>714</v>
          </cell>
          <cell r="T54">
            <v>600</v>
          </cell>
          <cell r="U54">
            <v>276</v>
          </cell>
          <cell r="V54">
            <v>250</v>
          </cell>
          <cell r="W54">
            <v>230</v>
          </cell>
          <cell r="X54">
            <v>192</v>
          </cell>
          <cell r="Y54">
            <v>180</v>
          </cell>
          <cell r="Z54">
            <v>144</v>
          </cell>
          <cell r="AA54">
            <v>192</v>
          </cell>
          <cell r="AB54">
            <v>0</v>
          </cell>
        </row>
        <row r="55"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Q56">
            <v>867</v>
          </cell>
          <cell r="R56">
            <v>2277</v>
          </cell>
          <cell r="S56">
            <v>9000</v>
          </cell>
          <cell r="T56">
            <v>10000</v>
          </cell>
          <cell r="U56">
            <v>7962</v>
          </cell>
          <cell r="V56">
            <v>2650</v>
          </cell>
          <cell r="W56">
            <v>2626</v>
          </cell>
          <cell r="X56">
            <v>1816</v>
          </cell>
          <cell r="Y56">
            <v>1928</v>
          </cell>
          <cell r="Z56">
            <v>6186</v>
          </cell>
          <cell r="AA56">
            <v>3266</v>
          </cell>
          <cell r="AB56">
            <v>5042</v>
          </cell>
        </row>
        <row r="57">
          <cell r="Q57">
            <v>2516</v>
          </cell>
          <cell r="R57">
            <v>1235</v>
          </cell>
          <cell r="S57">
            <v>629</v>
          </cell>
          <cell r="T57">
            <v>849</v>
          </cell>
          <cell r="U57">
            <v>1460</v>
          </cell>
          <cell r="V57">
            <v>567</v>
          </cell>
          <cell r="W57">
            <v>868</v>
          </cell>
          <cell r="X57">
            <v>874</v>
          </cell>
          <cell r="Y57">
            <v>500</v>
          </cell>
          <cell r="Z57">
            <v>1448</v>
          </cell>
          <cell r="AA57">
            <v>791</v>
          </cell>
          <cell r="AB57">
            <v>702</v>
          </cell>
        </row>
        <row r="58">
          <cell r="Q58">
            <v>3611</v>
          </cell>
          <cell r="R58">
            <v>427</v>
          </cell>
          <cell r="S58">
            <v>3052</v>
          </cell>
          <cell r="T58">
            <v>747</v>
          </cell>
          <cell r="U58">
            <v>1532</v>
          </cell>
          <cell r="V58">
            <v>634</v>
          </cell>
          <cell r="W58">
            <v>938</v>
          </cell>
          <cell r="X58">
            <v>948</v>
          </cell>
          <cell r="Y58">
            <v>576</v>
          </cell>
          <cell r="Z58">
            <v>1448</v>
          </cell>
          <cell r="AA58">
            <v>791</v>
          </cell>
          <cell r="AB58">
            <v>702</v>
          </cell>
        </row>
        <row r="59"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Q60">
            <v>2410</v>
          </cell>
          <cell r="R60">
            <v>0</v>
          </cell>
          <cell r="S60">
            <v>3795</v>
          </cell>
          <cell r="T60">
            <v>2000</v>
          </cell>
          <cell r="U60">
            <v>1871</v>
          </cell>
          <cell r="V60">
            <v>1516</v>
          </cell>
          <cell r="W60">
            <v>1288</v>
          </cell>
          <cell r="X60">
            <v>967</v>
          </cell>
          <cell r="Y60">
            <v>820</v>
          </cell>
          <cell r="Z60">
            <v>560</v>
          </cell>
          <cell r="AA60">
            <v>3013</v>
          </cell>
          <cell r="AB60">
            <v>1983</v>
          </cell>
        </row>
        <row r="61">
          <cell r="Q61">
            <v>2000</v>
          </cell>
          <cell r="R61">
            <v>2869</v>
          </cell>
          <cell r="S61">
            <v>3000</v>
          </cell>
          <cell r="T61">
            <v>2000</v>
          </cell>
          <cell r="U61">
            <v>1521</v>
          </cell>
          <cell r="V61">
            <v>1861</v>
          </cell>
          <cell r="W61">
            <v>1791</v>
          </cell>
          <cell r="X61">
            <v>1569</v>
          </cell>
          <cell r="Y61">
            <v>1253</v>
          </cell>
          <cell r="Z61">
            <v>1118</v>
          </cell>
          <cell r="AA61">
            <v>3013</v>
          </cell>
          <cell r="AB61">
            <v>1983</v>
          </cell>
        </row>
        <row r="62">
          <cell r="Q62">
            <v>2000</v>
          </cell>
          <cell r="R62">
            <v>3098</v>
          </cell>
          <cell r="S62">
            <v>3000</v>
          </cell>
          <cell r="T62">
            <v>2000</v>
          </cell>
          <cell r="U62">
            <v>1521</v>
          </cell>
          <cell r="V62">
            <v>1861</v>
          </cell>
          <cell r="W62">
            <v>1791</v>
          </cell>
          <cell r="X62">
            <v>1569</v>
          </cell>
          <cell r="Y62">
            <v>1253</v>
          </cell>
          <cell r="Z62">
            <v>1118</v>
          </cell>
          <cell r="AA62">
            <v>3013</v>
          </cell>
          <cell r="AB62">
            <v>1983</v>
          </cell>
        </row>
        <row r="63">
          <cell r="Q63">
            <v>1511</v>
          </cell>
          <cell r="R63">
            <v>276</v>
          </cell>
          <cell r="S63">
            <v>3600</v>
          </cell>
          <cell r="T63">
            <v>2079</v>
          </cell>
          <cell r="U63">
            <v>2663</v>
          </cell>
          <cell r="V63">
            <v>1929</v>
          </cell>
          <cell r="W63">
            <v>2025</v>
          </cell>
          <cell r="X63">
            <v>1558</v>
          </cell>
          <cell r="Y63">
            <v>1223</v>
          </cell>
          <cell r="Z63">
            <v>1854</v>
          </cell>
          <cell r="AA63">
            <v>2025</v>
          </cell>
          <cell r="AB63">
            <v>2308</v>
          </cell>
        </row>
        <row r="64">
          <cell r="Q64">
            <v>0</v>
          </cell>
          <cell r="R64">
            <v>0</v>
          </cell>
          <cell r="S64">
            <v>0</v>
          </cell>
          <cell r="T64">
            <v>1400</v>
          </cell>
          <cell r="U64">
            <v>2500</v>
          </cell>
          <cell r="V64">
            <v>2125</v>
          </cell>
          <cell r="W64">
            <v>3075</v>
          </cell>
          <cell r="X64">
            <v>2250</v>
          </cell>
          <cell r="Y64">
            <v>3178</v>
          </cell>
          <cell r="Z64">
            <v>3292</v>
          </cell>
          <cell r="AA64">
            <v>3686</v>
          </cell>
          <cell r="AB64">
            <v>2072</v>
          </cell>
        </row>
        <row r="65"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Q66">
            <v>20</v>
          </cell>
          <cell r="R66">
            <v>39</v>
          </cell>
          <cell r="S66">
            <v>15</v>
          </cell>
          <cell r="T66">
            <v>66</v>
          </cell>
          <cell r="U66">
            <v>32</v>
          </cell>
          <cell r="V66">
            <v>30</v>
          </cell>
          <cell r="W66">
            <v>35</v>
          </cell>
          <cell r="X66">
            <v>35</v>
          </cell>
          <cell r="Y66">
            <v>30</v>
          </cell>
          <cell r="Z66">
            <v>15</v>
          </cell>
          <cell r="AA66">
            <v>110</v>
          </cell>
          <cell r="AB66">
            <v>120</v>
          </cell>
        </row>
        <row r="67">
          <cell r="Q67">
            <v>20</v>
          </cell>
          <cell r="R67">
            <v>39</v>
          </cell>
          <cell r="S67">
            <v>15</v>
          </cell>
          <cell r="T67">
            <v>66</v>
          </cell>
          <cell r="U67">
            <v>32</v>
          </cell>
          <cell r="V67">
            <v>30</v>
          </cell>
          <cell r="W67">
            <v>35</v>
          </cell>
          <cell r="X67">
            <v>35</v>
          </cell>
          <cell r="Y67">
            <v>30</v>
          </cell>
          <cell r="Z67">
            <v>15</v>
          </cell>
          <cell r="AA67">
            <v>110</v>
          </cell>
          <cell r="AB67">
            <v>120</v>
          </cell>
        </row>
        <row r="68">
          <cell r="Q68">
            <v>20</v>
          </cell>
          <cell r="R68">
            <v>39</v>
          </cell>
          <cell r="S68">
            <v>15</v>
          </cell>
          <cell r="T68">
            <v>81</v>
          </cell>
          <cell r="U68">
            <v>32</v>
          </cell>
          <cell r="V68">
            <v>30</v>
          </cell>
          <cell r="W68">
            <v>35</v>
          </cell>
          <cell r="X68">
            <v>35</v>
          </cell>
          <cell r="Y68">
            <v>30</v>
          </cell>
          <cell r="Z68">
            <v>15</v>
          </cell>
          <cell r="AA68">
            <v>110</v>
          </cell>
          <cell r="AB68">
            <v>120</v>
          </cell>
        </row>
        <row r="69">
          <cell r="Q69">
            <v>3458</v>
          </cell>
          <cell r="R69">
            <v>3835</v>
          </cell>
          <cell r="S69">
            <v>4395</v>
          </cell>
          <cell r="T69">
            <v>3295</v>
          </cell>
          <cell r="U69">
            <v>4007</v>
          </cell>
          <cell r="V69">
            <v>4036</v>
          </cell>
          <cell r="W69">
            <v>3565</v>
          </cell>
          <cell r="X69">
            <v>4601</v>
          </cell>
          <cell r="Y69">
            <v>4345</v>
          </cell>
          <cell r="Z69">
            <v>2482</v>
          </cell>
          <cell r="AA69">
            <v>1801</v>
          </cell>
          <cell r="AB69">
            <v>1437</v>
          </cell>
        </row>
        <row r="70">
          <cell r="Q70">
            <v>0</v>
          </cell>
          <cell r="R70">
            <v>14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</row>
        <row r="71"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</row>
        <row r="72">
          <cell r="Q72">
            <v>0</v>
          </cell>
          <cell r="R72">
            <v>0</v>
          </cell>
          <cell r="S72">
            <v>30</v>
          </cell>
          <cell r="T72">
            <v>176</v>
          </cell>
          <cell r="U72">
            <v>82</v>
          </cell>
          <cell r="V72">
            <v>60</v>
          </cell>
          <cell r="W72">
            <v>30</v>
          </cell>
          <cell r="X72">
            <v>12</v>
          </cell>
          <cell r="Y72">
            <v>31</v>
          </cell>
          <cell r="Z72">
            <v>14</v>
          </cell>
          <cell r="AA72">
            <v>24</v>
          </cell>
          <cell r="AB72">
            <v>12</v>
          </cell>
        </row>
        <row r="73">
          <cell r="Q73">
            <v>0</v>
          </cell>
          <cell r="R73">
            <v>0</v>
          </cell>
          <cell r="S73">
            <v>32</v>
          </cell>
          <cell r="T73">
            <v>28</v>
          </cell>
          <cell r="U73">
            <v>82</v>
          </cell>
          <cell r="V73">
            <v>60</v>
          </cell>
          <cell r="W73">
            <v>30</v>
          </cell>
          <cell r="X73">
            <v>12</v>
          </cell>
          <cell r="Y73">
            <v>30</v>
          </cell>
          <cell r="Z73">
            <v>14</v>
          </cell>
          <cell r="AA73">
            <v>24</v>
          </cell>
          <cell r="AB73">
            <v>12</v>
          </cell>
        </row>
        <row r="74">
          <cell r="Q74">
            <v>21162</v>
          </cell>
          <cell r="R74">
            <v>15649</v>
          </cell>
          <cell r="S74">
            <v>19552</v>
          </cell>
          <cell r="T74">
            <v>15750</v>
          </cell>
          <cell r="U74">
            <v>21360</v>
          </cell>
          <cell r="V74">
            <v>7710</v>
          </cell>
          <cell r="W74">
            <v>17615</v>
          </cell>
          <cell r="X74">
            <v>17453</v>
          </cell>
          <cell r="Y74">
            <v>18717</v>
          </cell>
          <cell r="Z74">
            <v>23242</v>
          </cell>
          <cell r="AA74">
            <v>24654</v>
          </cell>
          <cell r="AB74">
            <v>23657</v>
          </cell>
        </row>
        <row r="75">
          <cell r="Q75">
            <v>1428</v>
          </cell>
          <cell r="R75">
            <v>1296</v>
          </cell>
          <cell r="S75">
            <v>1212</v>
          </cell>
          <cell r="T75">
            <v>540</v>
          </cell>
          <cell r="U75">
            <v>588</v>
          </cell>
          <cell r="V75">
            <v>696</v>
          </cell>
          <cell r="W75">
            <v>1158</v>
          </cell>
          <cell r="X75">
            <v>1956</v>
          </cell>
          <cell r="Y75">
            <v>2094</v>
          </cell>
          <cell r="Z75">
            <v>1530</v>
          </cell>
          <cell r="AA75">
            <v>1566</v>
          </cell>
          <cell r="AB75">
            <v>1650</v>
          </cell>
        </row>
        <row r="76"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</row>
        <row r="78">
          <cell r="Q78">
            <v>2423</v>
          </cell>
          <cell r="R78">
            <v>3257</v>
          </cell>
          <cell r="S78">
            <v>2485</v>
          </cell>
          <cell r="T78">
            <v>3276</v>
          </cell>
          <cell r="U78">
            <v>5580</v>
          </cell>
          <cell r="V78">
            <v>2412</v>
          </cell>
          <cell r="W78">
            <v>6048</v>
          </cell>
          <cell r="X78">
            <v>6048</v>
          </cell>
          <cell r="Y78">
            <v>5796</v>
          </cell>
          <cell r="Z78">
            <v>5472</v>
          </cell>
          <cell r="AA78">
            <v>5868</v>
          </cell>
          <cell r="AB78">
            <v>6336</v>
          </cell>
        </row>
        <row r="79"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</row>
        <row r="80"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</row>
        <row r="81">
          <cell r="Q81">
            <v>264</v>
          </cell>
          <cell r="R81">
            <v>318</v>
          </cell>
          <cell r="S81">
            <v>342</v>
          </cell>
          <cell r="T81">
            <v>186</v>
          </cell>
          <cell r="U81">
            <v>228</v>
          </cell>
          <cell r="V81">
            <v>144</v>
          </cell>
          <cell r="W81">
            <v>174</v>
          </cell>
          <cell r="X81">
            <v>168</v>
          </cell>
          <cell r="Y81">
            <v>168</v>
          </cell>
          <cell r="Z81">
            <v>174</v>
          </cell>
          <cell r="AA81">
            <v>180</v>
          </cell>
          <cell r="AB81">
            <v>180</v>
          </cell>
        </row>
        <row r="82"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Q83">
            <v>12</v>
          </cell>
          <cell r="R83">
            <v>18</v>
          </cell>
          <cell r="S83">
            <v>12</v>
          </cell>
          <cell r="T83">
            <v>42</v>
          </cell>
          <cell r="U83">
            <v>78</v>
          </cell>
          <cell r="V83">
            <v>30</v>
          </cell>
          <cell r="W83">
            <v>42</v>
          </cell>
          <cell r="X83">
            <v>30</v>
          </cell>
          <cell r="Y83">
            <v>36</v>
          </cell>
          <cell r="Z83">
            <v>30</v>
          </cell>
          <cell r="AA83">
            <v>30</v>
          </cell>
          <cell r="AB83">
            <v>36</v>
          </cell>
        </row>
        <row r="84"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Q85">
            <v>12</v>
          </cell>
          <cell r="R85">
            <v>18</v>
          </cell>
          <cell r="S85">
            <v>12</v>
          </cell>
          <cell r="T85">
            <v>42</v>
          </cell>
          <cell r="U85">
            <v>78</v>
          </cell>
          <cell r="V85">
            <v>30</v>
          </cell>
          <cell r="W85">
            <v>42</v>
          </cell>
          <cell r="X85">
            <v>30</v>
          </cell>
          <cell r="Y85">
            <v>36</v>
          </cell>
          <cell r="Z85">
            <v>30</v>
          </cell>
          <cell r="AA85">
            <v>30</v>
          </cell>
          <cell r="AB85">
            <v>36</v>
          </cell>
        </row>
        <row r="86">
          <cell r="Q86">
            <v>168</v>
          </cell>
          <cell r="R86">
            <v>358</v>
          </cell>
          <cell r="S86">
            <v>309</v>
          </cell>
          <cell r="T86">
            <v>180</v>
          </cell>
          <cell r="U86">
            <v>186</v>
          </cell>
          <cell r="V86">
            <v>138</v>
          </cell>
          <cell r="W86">
            <v>162</v>
          </cell>
          <cell r="X86">
            <v>144</v>
          </cell>
          <cell r="Y86">
            <v>156</v>
          </cell>
          <cell r="Z86">
            <v>126</v>
          </cell>
          <cell r="AA86">
            <v>174</v>
          </cell>
          <cell r="AB86">
            <v>162</v>
          </cell>
        </row>
        <row r="87">
          <cell r="Q87">
            <v>150</v>
          </cell>
          <cell r="R87">
            <v>304</v>
          </cell>
          <cell r="S87">
            <v>229</v>
          </cell>
          <cell r="T87">
            <v>126</v>
          </cell>
          <cell r="U87">
            <v>162</v>
          </cell>
          <cell r="V87">
            <v>126</v>
          </cell>
          <cell r="W87">
            <v>156</v>
          </cell>
          <cell r="X87">
            <v>126</v>
          </cell>
          <cell r="Y87">
            <v>144</v>
          </cell>
          <cell r="Z87">
            <v>96</v>
          </cell>
          <cell r="AA87">
            <v>126</v>
          </cell>
          <cell r="AB87">
            <v>132</v>
          </cell>
        </row>
        <row r="88">
          <cell r="Q88">
            <v>366</v>
          </cell>
          <cell r="R88">
            <v>468</v>
          </cell>
          <cell r="S88">
            <v>390</v>
          </cell>
          <cell r="T88">
            <v>468</v>
          </cell>
          <cell r="U88">
            <v>744</v>
          </cell>
          <cell r="V88">
            <v>354</v>
          </cell>
          <cell r="W88">
            <v>426</v>
          </cell>
          <cell r="X88">
            <v>402</v>
          </cell>
          <cell r="Y88">
            <v>396</v>
          </cell>
          <cell r="Z88">
            <v>480</v>
          </cell>
          <cell r="AA88">
            <v>408</v>
          </cell>
          <cell r="AB88">
            <v>420</v>
          </cell>
        </row>
        <row r="89">
          <cell r="Q89">
            <v>366</v>
          </cell>
          <cell r="R89">
            <v>468</v>
          </cell>
          <cell r="S89">
            <v>390</v>
          </cell>
          <cell r="T89">
            <v>468</v>
          </cell>
          <cell r="U89">
            <v>744</v>
          </cell>
          <cell r="V89">
            <v>354</v>
          </cell>
          <cell r="W89">
            <v>426</v>
          </cell>
          <cell r="X89">
            <v>402</v>
          </cell>
          <cell r="Y89">
            <v>396</v>
          </cell>
          <cell r="Z89">
            <v>480</v>
          </cell>
          <cell r="AA89">
            <v>408</v>
          </cell>
          <cell r="AB89">
            <v>420</v>
          </cell>
        </row>
        <row r="90">
          <cell r="Q90">
            <v>792</v>
          </cell>
          <cell r="R90">
            <v>744</v>
          </cell>
          <cell r="S90">
            <v>708</v>
          </cell>
          <cell r="T90">
            <v>480</v>
          </cell>
          <cell r="U90">
            <v>180</v>
          </cell>
          <cell r="V90">
            <v>396</v>
          </cell>
          <cell r="W90">
            <v>372</v>
          </cell>
          <cell r="X90">
            <v>984</v>
          </cell>
          <cell r="Y90">
            <v>900</v>
          </cell>
          <cell r="Z90">
            <v>744</v>
          </cell>
          <cell r="AA90">
            <v>696</v>
          </cell>
          <cell r="AB90">
            <v>732</v>
          </cell>
        </row>
        <row r="91">
          <cell r="Q91">
            <v>414</v>
          </cell>
          <cell r="R91">
            <v>450</v>
          </cell>
          <cell r="S91">
            <v>522</v>
          </cell>
          <cell r="T91">
            <v>372</v>
          </cell>
          <cell r="U91">
            <v>480</v>
          </cell>
          <cell r="V91">
            <v>318</v>
          </cell>
          <cell r="W91">
            <v>342</v>
          </cell>
          <cell r="X91">
            <v>324</v>
          </cell>
          <cell r="Y91">
            <v>330</v>
          </cell>
          <cell r="Z91">
            <v>324</v>
          </cell>
          <cell r="AA91">
            <v>330</v>
          </cell>
          <cell r="AB91">
            <v>306</v>
          </cell>
        </row>
        <row r="92">
          <cell r="Q92">
            <v>54</v>
          </cell>
          <cell r="R92">
            <v>114</v>
          </cell>
          <cell r="S92">
            <v>60</v>
          </cell>
          <cell r="T92">
            <v>102</v>
          </cell>
          <cell r="U92">
            <v>78</v>
          </cell>
          <cell r="V92">
            <v>78</v>
          </cell>
          <cell r="W92">
            <v>84</v>
          </cell>
          <cell r="X92">
            <v>60</v>
          </cell>
          <cell r="Y92">
            <v>78</v>
          </cell>
          <cell r="Z92">
            <v>48</v>
          </cell>
          <cell r="AA92">
            <v>90</v>
          </cell>
          <cell r="AB92">
            <v>78</v>
          </cell>
        </row>
        <row r="93"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</row>
        <row r="95">
          <cell r="Q95">
            <v>132</v>
          </cell>
          <cell r="R95">
            <v>48</v>
          </cell>
          <cell r="S95">
            <v>24</v>
          </cell>
          <cell r="T95">
            <v>12</v>
          </cell>
          <cell r="U95">
            <v>48</v>
          </cell>
          <cell r="V95">
            <v>12</v>
          </cell>
          <cell r="W95">
            <v>36</v>
          </cell>
          <cell r="X95">
            <v>12</v>
          </cell>
          <cell r="Y95">
            <v>24</v>
          </cell>
          <cell r="Z95">
            <v>12</v>
          </cell>
          <cell r="AA95">
            <v>24</v>
          </cell>
          <cell r="AB95">
            <v>24</v>
          </cell>
        </row>
        <row r="96">
          <cell r="Q96">
            <v>24</v>
          </cell>
          <cell r="R96">
            <v>108</v>
          </cell>
          <cell r="S96">
            <v>26</v>
          </cell>
          <cell r="T96">
            <v>48</v>
          </cell>
          <cell r="U96">
            <v>72</v>
          </cell>
          <cell r="V96">
            <v>24</v>
          </cell>
          <cell r="W96">
            <v>48</v>
          </cell>
          <cell r="X96">
            <v>36</v>
          </cell>
          <cell r="Y96">
            <v>48</v>
          </cell>
          <cell r="Z96">
            <v>60</v>
          </cell>
          <cell r="AA96">
            <v>84</v>
          </cell>
          <cell r="AB96">
            <v>60</v>
          </cell>
        </row>
        <row r="97"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</row>
        <row r="98">
          <cell r="Q98">
            <v>156</v>
          </cell>
          <cell r="R98">
            <v>384</v>
          </cell>
          <cell r="S98">
            <v>264</v>
          </cell>
          <cell r="T98">
            <v>348</v>
          </cell>
          <cell r="U98">
            <v>588</v>
          </cell>
          <cell r="V98">
            <v>312</v>
          </cell>
          <cell r="W98">
            <v>372</v>
          </cell>
          <cell r="X98">
            <v>312</v>
          </cell>
          <cell r="Y98">
            <v>348</v>
          </cell>
          <cell r="Z98">
            <v>276</v>
          </cell>
          <cell r="AA98">
            <v>336</v>
          </cell>
          <cell r="AB98">
            <v>336</v>
          </cell>
        </row>
        <row r="99">
          <cell r="Q99">
            <v>96</v>
          </cell>
          <cell r="R99">
            <v>138</v>
          </cell>
          <cell r="S99">
            <v>152</v>
          </cell>
          <cell r="T99">
            <v>84</v>
          </cell>
          <cell r="U99">
            <v>162</v>
          </cell>
          <cell r="V99">
            <v>90</v>
          </cell>
          <cell r="W99">
            <v>114</v>
          </cell>
          <cell r="X99">
            <v>78</v>
          </cell>
          <cell r="Y99">
            <v>102</v>
          </cell>
          <cell r="Z99">
            <v>192</v>
          </cell>
          <cell r="AA99">
            <v>72</v>
          </cell>
          <cell r="AB99">
            <v>96</v>
          </cell>
        </row>
        <row r="100">
          <cell r="Q100">
            <v>138</v>
          </cell>
          <cell r="R100">
            <v>102</v>
          </cell>
          <cell r="S100">
            <v>90</v>
          </cell>
          <cell r="T100">
            <v>66</v>
          </cell>
          <cell r="U100">
            <v>180</v>
          </cell>
          <cell r="V100">
            <v>66</v>
          </cell>
          <cell r="W100">
            <v>78</v>
          </cell>
          <cell r="X100">
            <v>90</v>
          </cell>
          <cell r="Y100">
            <v>72</v>
          </cell>
          <cell r="Z100">
            <v>72</v>
          </cell>
          <cell r="AA100">
            <v>96</v>
          </cell>
          <cell r="AB100">
            <v>96</v>
          </cell>
        </row>
        <row r="101">
          <cell r="Q101">
            <v>0</v>
          </cell>
          <cell r="R101">
            <v>6</v>
          </cell>
          <cell r="S101">
            <v>0</v>
          </cell>
          <cell r="T101">
            <v>6</v>
          </cell>
          <cell r="U101">
            <v>18</v>
          </cell>
          <cell r="V101">
            <v>6</v>
          </cell>
          <cell r="W101">
            <v>12</v>
          </cell>
          <cell r="X101">
            <v>18</v>
          </cell>
          <cell r="Y101">
            <v>12</v>
          </cell>
          <cell r="Z101">
            <v>6</v>
          </cell>
          <cell r="AA101">
            <v>12</v>
          </cell>
          <cell r="AB101">
            <v>18</v>
          </cell>
        </row>
        <row r="102"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Q103">
            <v>0</v>
          </cell>
          <cell r="R103">
            <v>6</v>
          </cell>
          <cell r="S103">
            <v>18</v>
          </cell>
          <cell r="T103">
            <v>0</v>
          </cell>
          <cell r="U103">
            <v>0</v>
          </cell>
          <cell r="V103">
            <v>6</v>
          </cell>
          <cell r="W103">
            <v>0</v>
          </cell>
          <cell r="X103">
            <v>6</v>
          </cell>
          <cell r="Y103">
            <v>0</v>
          </cell>
          <cell r="Z103">
            <v>0</v>
          </cell>
          <cell r="AA103">
            <v>6</v>
          </cell>
          <cell r="AB103">
            <v>0</v>
          </cell>
        </row>
        <row r="104">
          <cell r="Q104">
            <v>450</v>
          </cell>
          <cell r="R104">
            <v>342</v>
          </cell>
          <cell r="S104">
            <v>397</v>
          </cell>
          <cell r="T104">
            <v>252</v>
          </cell>
          <cell r="U104">
            <v>408</v>
          </cell>
          <cell r="V104">
            <v>228</v>
          </cell>
          <cell r="W104">
            <v>354</v>
          </cell>
          <cell r="X104">
            <v>348</v>
          </cell>
          <cell r="Y104">
            <v>402</v>
          </cell>
          <cell r="Z104">
            <v>342</v>
          </cell>
          <cell r="AA104">
            <v>366</v>
          </cell>
          <cell r="AB104">
            <v>330</v>
          </cell>
        </row>
        <row r="105">
          <cell r="Q105">
            <v>180</v>
          </cell>
          <cell r="R105">
            <v>108</v>
          </cell>
          <cell r="S105">
            <v>228</v>
          </cell>
          <cell r="T105">
            <v>120</v>
          </cell>
          <cell r="U105">
            <v>168</v>
          </cell>
          <cell r="V105">
            <v>72</v>
          </cell>
          <cell r="W105">
            <v>132</v>
          </cell>
          <cell r="X105">
            <v>144</v>
          </cell>
          <cell r="Y105">
            <v>156</v>
          </cell>
          <cell r="Z105">
            <v>132</v>
          </cell>
          <cell r="AA105">
            <v>144</v>
          </cell>
          <cell r="AB105">
            <v>132</v>
          </cell>
        </row>
        <row r="106">
          <cell r="Q106">
            <v>54</v>
          </cell>
          <cell r="R106">
            <v>42</v>
          </cell>
          <cell r="S106">
            <v>54</v>
          </cell>
          <cell r="T106">
            <v>60</v>
          </cell>
          <cell r="U106">
            <v>102</v>
          </cell>
          <cell r="V106">
            <v>84</v>
          </cell>
          <cell r="W106">
            <v>138</v>
          </cell>
          <cell r="X106">
            <v>120</v>
          </cell>
          <cell r="Y106">
            <v>126</v>
          </cell>
          <cell r="Z106">
            <v>132</v>
          </cell>
          <cell r="AA106">
            <v>126</v>
          </cell>
          <cell r="AB106">
            <v>150</v>
          </cell>
        </row>
        <row r="107">
          <cell r="Q107">
            <v>3456</v>
          </cell>
          <cell r="R107">
            <v>4174</v>
          </cell>
          <cell r="S107">
            <v>3654</v>
          </cell>
          <cell r="T107">
            <v>3967</v>
          </cell>
          <cell r="U107">
            <v>3771</v>
          </cell>
          <cell r="V107">
            <v>3278</v>
          </cell>
          <cell r="W107">
            <v>3060</v>
          </cell>
          <cell r="X107">
            <v>3240</v>
          </cell>
          <cell r="Y107">
            <v>3060</v>
          </cell>
          <cell r="Z107">
            <v>2844</v>
          </cell>
          <cell r="AA107">
            <v>2952</v>
          </cell>
          <cell r="AB107">
            <v>3420</v>
          </cell>
        </row>
        <row r="108">
          <cell r="Q108">
            <v>12</v>
          </cell>
          <cell r="R108">
            <v>12</v>
          </cell>
          <cell r="S108">
            <v>36</v>
          </cell>
          <cell r="T108">
            <v>24</v>
          </cell>
          <cell r="U108">
            <v>12</v>
          </cell>
          <cell r="V108">
            <v>12</v>
          </cell>
          <cell r="W108">
            <v>12</v>
          </cell>
          <cell r="X108">
            <v>24</v>
          </cell>
          <cell r="Y108">
            <v>12</v>
          </cell>
          <cell r="Z108">
            <v>24</v>
          </cell>
          <cell r="AA108">
            <v>12</v>
          </cell>
          <cell r="AB108">
            <v>12</v>
          </cell>
        </row>
        <row r="109">
          <cell r="Q109">
            <v>168</v>
          </cell>
          <cell r="R109">
            <v>172</v>
          </cell>
          <cell r="S109">
            <v>175</v>
          </cell>
          <cell r="T109">
            <v>181</v>
          </cell>
          <cell r="U109">
            <v>213</v>
          </cell>
          <cell r="V109">
            <v>183</v>
          </cell>
          <cell r="W109">
            <v>246</v>
          </cell>
          <cell r="X109">
            <v>252</v>
          </cell>
          <cell r="Y109">
            <v>246</v>
          </cell>
          <cell r="Z109">
            <v>216</v>
          </cell>
          <cell r="AA109">
            <v>234</v>
          </cell>
          <cell r="AB109">
            <v>282</v>
          </cell>
        </row>
        <row r="110">
          <cell r="Q110">
            <v>72</v>
          </cell>
          <cell r="R110">
            <v>110</v>
          </cell>
          <cell r="S110">
            <v>139</v>
          </cell>
          <cell r="T110">
            <v>73</v>
          </cell>
          <cell r="U110">
            <v>139</v>
          </cell>
          <cell r="V110">
            <v>56</v>
          </cell>
          <cell r="W110">
            <v>114</v>
          </cell>
          <cell r="X110">
            <v>72</v>
          </cell>
          <cell r="Y110">
            <v>90</v>
          </cell>
          <cell r="Z110">
            <v>102</v>
          </cell>
          <cell r="AA110">
            <v>108</v>
          </cell>
          <cell r="AB110">
            <v>126</v>
          </cell>
        </row>
        <row r="111">
          <cell r="Q111">
            <v>156</v>
          </cell>
          <cell r="R111">
            <v>180</v>
          </cell>
          <cell r="S111">
            <v>156</v>
          </cell>
          <cell r="T111">
            <v>168</v>
          </cell>
          <cell r="U111">
            <v>204</v>
          </cell>
          <cell r="V111">
            <v>180</v>
          </cell>
          <cell r="W111">
            <v>240</v>
          </cell>
          <cell r="X111">
            <v>240</v>
          </cell>
          <cell r="Y111">
            <v>240</v>
          </cell>
          <cell r="Z111">
            <v>204</v>
          </cell>
          <cell r="AA111">
            <v>228</v>
          </cell>
          <cell r="AB111">
            <v>276</v>
          </cell>
        </row>
        <row r="112"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Q113">
            <v>156</v>
          </cell>
          <cell r="R113">
            <v>156</v>
          </cell>
          <cell r="S113">
            <v>156</v>
          </cell>
          <cell r="T113">
            <v>168</v>
          </cell>
          <cell r="U113">
            <v>204</v>
          </cell>
          <cell r="V113">
            <v>180</v>
          </cell>
          <cell r="W113">
            <v>240</v>
          </cell>
          <cell r="X113">
            <v>240</v>
          </cell>
          <cell r="Y113">
            <v>240</v>
          </cell>
          <cell r="Z113">
            <v>204</v>
          </cell>
          <cell r="AA113">
            <v>228</v>
          </cell>
          <cell r="AB113">
            <v>276</v>
          </cell>
        </row>
        <row r="114"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</row>
        <row r="115">
          <cell r="Q115">
            <v>378</v>
          </cell>
          <cell r="R115">
            <v>352</v>
          </cell>
          <cell r="S115">
            <v>307</v>
          </cell>
          <cell r="T115">
            <v>328</v>
          </cell>
          <cell r="U115">
            <v>305</v>
          </cell>
          <cell r="V115">
            <v>244</v>
          </cell>
          <cell r="W115">
            <v>270</v>
          </cell>
          <cell r="X115">
            <v>300</v>
          </cell>
          <cell r="Y115">
            <v>270</v>
          </cell>
          <cell r="Z115">
            <v>270</v>
          </cell>
          <cell r="AA115">
            <v>264</v>
          </cell>
          <cell r="AB115">
            <v>294</v>
          </cell>
        </row>
        <row r="116">
          <cell r="Q116">
            <v>362</v>
          </cell>
          <cell r="R116">
            <v>330</v>
          </cell>
          <cell r="S116">
            <v>300</v>
          </cell>
          <cell r="T116">
            <v>306</v>
          </cell>
          <cell r="U116">
            <v>288</v>
          </cell>
          <cell r="V116">
            <v>222</v>
          </cell>
          <cell r="W116">
            <v>264</v>
          </cell>
          <cell r="X116">
            <v>294</v>
          </cell>
          <cell r="Y116">
            <v>258</v>
          </cell>
          <cell r="Z116">
            <v>264</v>
          </cell>
          <cell r="AA116">
            <v>252</v>
          </cell>
          <cell r="AB116">
            <v>282</v>
          </cell>
        </row>
        <row r="117">
          <cell r="Q117">
            <v>366</v>
          </cell>
          <cell r="R117">
            <v>342</v>
          </cell>
          <cell r="S117">
            <v>306</v>
          </cell>
          <cell r="T117">
            <v>324</v>
          </cell>
          <cell r="U117">
            <v>300</v>
          </cell>
          <cell r="V117">
            <v>240</v>
          </cell>
          <cell r="W117">
            <v>270</v>
          </cell>
          <cell r="X117">
            <v>300</v>
          </cell>
          <cell r="Y117">
            <v>270</v>
          </cell>
          <cell r="Z117">
            <v>270</v>
          </cell>
          <cell r="AA117">
            <v>264</v>
          </cell>
          <cell r="AB117">
            <v>294</v>
          </cell>
        </row>
        <row r="118">
          <cell r="Q118">
            <v>366</v>
          </cell>
          <cell r="R118">
            <v>342</v>
          </cell>
          <cell r="S118">
            <v>306</v>
          </cell>
          <cell r="T118">
            <v>324</v>
          </cell>
          <cell r="U118">
            <v>300</v>
          </cell>
          <cell r="V118">
            <v>240</v>
          </cell>
          <cell r="W118">
            <v>270</v>
          </cell>
          <cell r="X118">
            <v>300</v>
          </cell>
          <cell r="Y118">
            <v>270</v>
          </cell>
          <cell r="Z118">
            <v>270</v>
          </cell>
          <cell r="AA118">
            <v>264</v>
          </cell>
          <cell r="AB118">
            <v>294</v>
          </cell>
        </row>
        <row r="119">
          <cell r="Q119">
            <v>174</v>
          </cell>
          <cell r="R119">
            <v>114</v>
          </cell>
          <cell r="S119">
            <v>86</v>
          </cell>
          <cell r="T119">
            <v>36</v>
          </cell>
          <cell r="U119">
            <v>144</v>
          </cell>
          <cell r="V119">
            <v>60</v>
          </cell>
          <cell r="W119">
            <v>114</v>
          </cell>
          <cell r="X119">
            <v>108</v>
          </cell>
          <cell r="Y119">
            <v>114</v>
          </cell>
          <cell r="Z119">
            <v>114</v>
          </cell>
          <cell r="AA119">
            <v>126</v>
          </cell>
          <cell r="AB119">
            <v>102</v>
          </cell>
        </row>
        <row r="120">
          <cell r="Q120">
            <v>72</v>
          </cell>
          <cell r="R120">
            <v>108</v>
          </cell>
          <cell r="S120">
            <v>138</v>
          </cell>
          <cell r="T120">
            <v>72</v>
          </cell>
          <cell r="U120">
            <v>138</v>
          </cell>
          <cell r="V120">
            <v>54</v>
          </cell>
          <cell r="W120">
            <v>114</v>
          </cell>
          <cell r="X120">
            <v>72</v>
          </cell>
          <cell r="Y120">
            <v>90</v>
          </cell>
          <cell r="Z120">
            <v>102</v>
          </cell>
          <cell r="AA120">
            <v>108</v>
          </cell>
          <cell r="AB120">
            <v>126</v>
          </cell>
        </row>
        <row r="121">
          <cell r="Q121">
            <v>294</v>
          </cell>
          <cell r="R121">
            <v>252</v>
          </cell>
          <cell r="S121">
            <v>259</v>
          </cell>
          <cell r="T121">
            <v>246</v>
          </cell>
          <cell r="U121">
            <v>228</v>
          </cell>
          <cell r="V121">
            <v>222</v>
          </cell>
          <cell r="W121">
            <v>234</v>
          </cell>
          <cell r="X121">
            <v>234</v>
          </cell>
          <cell r="Y121">
            <v>252</v>
          </cell>
          <cell r="Z121">
            <v>198</v>
          </cell>
          <cell r="AA121">
            <v>228</v>
          </cell>
          <cell r="AB121">
            <v>228</v>
          </cell>
        </row>
        <row r="122">
          <cell r="Q122">
            <v>144</v>
          </cell>
          <cell r="R122">
            <v>120</v>
          </cell>
          <cell r="S122">
            <v>24</v>
          </cell>
          <cell r="T122">
            <v>24</v>
          </cell>
          <cell r="U122">
            <v>72</v>
          </cell>
          <cell r="V122">
            <v>48</v>
          </cell>
          <cell r="W122">
            <v>96</v>
          </cell>
          <cell r="X122">
            <v>120</v>
          </cell>
          <cell r="Y122">
            <v>72</v>
          </cell>
          <cell r="Z122">
            <v>72</v>
          </cell>
          <cell r="AA122">
            <v>96</v>
          </cell>
          <cell r="AB122">
            <v>96</v>
          </cell>
        </row>
        <row r="123">
          <cell r="Q123">
            <v>276</v>
          </cell>
          <cell r="R123">
            <v>192</v>
          </cell>
          <cell r="S123">
            <v>228</v>
          </cell>
          <cell r="T123">
            <v>180</v>
          </cell>
          <cell r="U123">
            <v>192</v>
          </cell>
          <cell r="V123">
            <v>204</v>
          </cell>
          <cell r="W123">
            <v>180</v>
          </cell>
          <cell r="X123">
            <v>180</v>
          </cell>
          <cell r="Y123">
            <v>192</v>
          </cell>
          <cell r="Z123">
            <v>132</v>
          </cell>
          <cell r="AA123">
            <v>168</v>
          </cell>
          <cell r="AB123">
            <v>168</v>
          </cell>
        </row>
        <row r="124"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</row>
        <row r="125"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</row>
        <row r="126"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</row>
        <row r="127"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</row>
        <row r="128"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</row>
        <row r="129">
          <cell r="Q129">
            <v>48</v>
          </cell>
          <cell r="R129">
            <v>30</v>
          </cell>
          <cell r="S129">
            <v>0</v>
          </cell>
          <cell r="T129">
            <v>30</v>
          </cell>
          <cell r="U129">
            <v>24</v>
          </cell>
          <cell r="V129">
            <v>18</v>
          </cell>
          <cell r="W129">
            <v>24</v>
          </cell>
          <cell r="X129">
            <v>30</v>
          </cell>
          <cell r="Y129">
            <v>6</v>
          </cell>
          <cell r="Z129">
            <v>36</v>
          </cell>
          <cell r="AA129">
            <v>18</v>
          </cell>
          <cell r="AB129">
            <v>18</v>
          </cell>
        </row>
        <row r="130"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Q131">
            <v>24</v>
          </cell>
          <cell r="R131">
            <v>60</v>
          </cell>
          <cell r="S131">
            <v>48</v>
          </cell>
          <cell r="T131">
            <v>36</v>
          </cell>
          <cell r="U131">
            <v>48</v>
          </cell>
          <cell r="V131">
            <v>24</v>
          </cell>
          <cell r="W131">
            <v>12</v>
          </cell>
          <cell r="X131">
            <v>36</v>
          </cell>
          <cell r="Y131">
            <v>12</v>
          </cell>
          <cell r="Z131">
            <v>36</v>
          </cell>
          <cell r="AA131">
            <v>18</v>
          </cell>
          <cell r="AB131">
            <v>36</v>
          </cell>
        </row>
        <row r="132">
          <cell r="Q132">
            <v>0</v>
          </cell>
          <cell r="R132">
            <v>0</v>
          </cell>
          <cell r="S132">
            <v>0</v>
          </cell>
          <cell r="T132">
            <v>12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12</v>
          </cell>
        </row>
        <row r="133">
          <cell r="Q133">
            <v>598</v>
          </cell>
          <cell r="R133">
            <v>97</v>
          </cell>
          <cell r="S133">
            <v>150</v>
          </cell>
          <cell r="T133">
            <v>405</v>
          </cell>
          <cell r="U133">
            <v>72</v>
          </cell>
          <cell r="V133">
            <v>373</v>
          </cell>
          <cell r="W133">
            <v>240</v>
          </cell>
          <cell r="X133">
            <v>210</v>
          </cell>
          <cell r="Y133">
            <v>150</v>
          </cell>
          <cell r="Z133">
            <v>210</v>
          </cell>
          <cell r="AA133">
            <v>480</v>
          </cell>
          <cell r="AB133">
            <v>390</v>
          </cell>
        </row>
        <row r="134">
          <cell r="Q134">
            <v>844</v>
          </cell>
          <cell r="R134">
            <v>1321</v>
          </cell>
          <cell r="S134">
            <v>663</v>
          </cell>
          <cell r="T134">
            <v>1294</v>
          </cell>
          <cell r="U134">
            <v>1788</v>
          </cell>
          <cell r="V134">
            <v>675</v>
          </cell>
          <cell r="W134">
            <v>1035</v>
          </cell>
          <cell r="X134">
            <v>1260</v>
          </cell>
          <cell r="Y134">
            <v>1455</v>
          </cell>
          <cell r="Z134">
            <v>1650</v>
          </cell>
          <cell r="AA134">
            <v>1485</v>
          </cell>
          <cell r="AB134">
            <v>1740</v>
          </cell>
        </row>
        <row r="135"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</row>
        <row r="136">
          <cell r="Q136">
            <v>9240</v>
          </cell>
          <cell r="R136">
            <v>5404</v>
          </cell>
          <cell r="S136">
            <v>13752</v>
          </cell>
          <cell r="T136">
            <v>9425</v>
          </cell>
          <cell r="U136">
            <v>9923</v>
          </cell>
          <cell r="V136">
            <v>10170.653351439425</v>
          </cell>
          <cell r="W136">
            <v>10262.059280064334</v>
          </cell>
          <cell r="X136">
            <v>9859.8159352756265</v>
          </cell>
          <cell r="Y136">
            <v>10264.922222020125</v>
          </cell>
          <cell r="Z136">
            <v>10359.932854834824</v>
          </cell>
          <cell r="AA136">
            <v>10088.79923003182</v>
          </cell>
          <cell r="AB136">
            <v>8444.4515904355994</v>
          </cell>
        </row>
        <row r="137">
          <cell r="Q137">
            <v>0</v>
          </cell>
          <cell r="R137">
            <v>18</v>
          </cell>
          <cell r="S137">
            <v>810</v>
          </cell>
          <cell r="T137">
            <v>836</v>
          </cell>
          <cell r="U137">
            <v>585</v>
          </cell>
          <cell r="V137">
            <v>755.63675161795777</v>
          </cell>
          <cell r="W137">
            <v>762.42782753000552</v>
          </cell>
          <cell r="X137">
            <v>732.54283942616235</v>
          </cell>
          <cell r="Y137">
            <v>762.6405320716699</v>
          </cell>
          <cell r="Z137">
            <v>769.69942233844961</v>
          </cell>
          <cell r="AA137">
            <v>749.55533479351845</v>
          </cell>
          <cell r="AB137">
            <v>627.38722366235959</v>
          </cell>
        </row>
        <row r="138"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</row>
        <row r="143"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</row>
        <row r="144">
          <cell r="Q144">
            <v>0</v>
          </cell>
          <cell r="R144">
            <v>0</v>
          </cell>
          <cell r="S144">
            <v>5171.6623853024284</v>
          </cell>
          <cell r="T144">
            <v>4042.9671092318131</v>
          </cell>
          <cell r="U144">
            <v>5141.2667330582735</v>
          </cell>
          <cell r="V144">
            <v>5120.9438839390932</v>
          </cell>
          <cell r="W144">
            <v>5166.9669480405992</v>
          </cell>
          <cell r="X144">
            <v>4964.4366360563254</v>
          </cell>
          <cell r="Y144">
            <v>5168.4084449230495</v>
          </cell>
          <cell r="Z144">
            <v>5216.246484644731</v>
          </cell>
          <cell r="AA144">
            <v>5079.7301734808407</v>
          </cell>
          <cell r="AB144">
            <v>4251.7979161231351</v>
          </cell>
        </row>
        <row r="145"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</row>
        <row r="146"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Q148">
            <v>210</v>
          </cell>
          <cell r="R148">
            <v>396</v>
          </cell>
          <cell r="S148">
            <v>674</v>
          </cell>
          <cell r="T148">
            <v>277.79228369258669</v>
          </cell>
          <cell r="U148">
            <v>353.2564545449269</v>
          </cell>
          <cell r="V148">
            <v>351.86007151349781</v>
          </cell>
          <cell r="W148">
            <v>355.02231640292433</v>
          </cell>
          <cell r="X148">
            <v>341.1064579843349</v>
          </cell>
          <cell r="Y148">
            <v>355.12136165857265</v>
          </cell>
          <cell r="Z148">
            <v>358.40831352897447</v>
          </cell>
          <cell r="AA148">
            <v>349.02827732909788</v>
          </cell>
          <cell r="AB148">
            <v>292.1410491374603</v>
          </cell>
        </row>
        <row r="149">
          <cell r="Q149">
            <v>0</v>
          </cell>
          <cell r="R149">
            <v>200</v>
          </cell>
          <cell r="S149">
            <v>288</v>
          </cell>
          <cell r="T149">
            <v>133.17688894674009</v>
          </cell>
          <cell r="U149">
            <v>169.35530026712672</v>
          </cell>
          <cell r="V149">
            <v>168.68585781382396</v>
          </cell>
          <cell r="W149">
            <v>170.20187521669607</v>
          </cell>
          <cell r="X149">
            <v>163.53044897484293</v>
          </cell>
          <cell r="Y149">
            <v>170.24935867749218</v>
          </cell>
          <cell r="Z149">
            <v>171.82516207418482</v>
          </cell>
          <cell r="AA149">
            <v>167.3282623665969</v>
          </cell>
          <cell r="AB149">
            <v>140.05585591001775</v>
          </cell>
        </row>
        <row r="150"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Q151">
            <v>154</v>
          </cell>
          <cell r="R151">
            <v>26</v>
          </cell>
          <cell r="S151">
            <v>40</v>
          </cell>
          <cell r="T151">
            <v>41.668842553888005</v>
          </cell>
          <cell r="U151">
            <v>52.98846818173903</v>
          </cell>
          <cell r="V151">
            <v>52.779010727024676</v>
          </cell>
          <cell r="W151">
            <v>53.253347460438647</v>
          </cell>
          <cell r="X151">
            <v>51.165968697650236</v>
          </cell>
          <cell r="Y151">
            <v>53.268204248785892</v>
          </cell>
          <cell r="Z151">
            <v>53.761247029346173</v>
          </cell>
          <cell r="AA151">
            <v>52.354241599364677</v>
          </cell>
          <cell r="AB151">
            <v>43.821157370619048</v>
          </cell>
        </row>
        <row r="152">
          <cell r="Q152">
            <v>76</v>
          </cell>
          <cell r="R152">
            <v>98</v>
          </cell>
          <cell r="S152">
            <v>84</v>
          </cell>
          <cell r="T152">
            <v>35.132553525827142</v>
          </cell>
          <cell r="U152">
            <v>44.67655160421134</v>
          </cell>
          <cell r="V152">
            <v>44.499950220824722</v>
          </cell>
          <cell r="W152">
            <v>44.899881192134544</v>
          </cell>
          <cell r="X152">
            <v>43.139934392136475</v>
          </cell>
          <cell r="Y152">
            <v>44.912407503878306</v>
          </cell>
          <cell r="Z152">
            <v>45.328110240429126</v>
          </cell>
          <cell r="AA152">
            <v>44.14181154456238</v>
          </cell>
          <cell r="AB152">
            <v>36.947250332090569</v>
          </cell>
        </row>
        <row r="153">
          <cell r="Q153">
            <v>0</v>
          </cell>
          <cell r="R153">
            <v>0</v>
          </cell>
          <cell r="S153">
            <v>0</v>
          </cell>
          <cell r="T153">
            <v>6.2639436518916618</v>
          </cell>
          <cell r="U153">
            <v>7.9655867201307045</v>
          </cell>
          <cell r="V153">
            <v>7.9340996517749511</v>
          </cell>
          <cell r="W153">
            <v>8.0054051737914307</v>
          </cell>
          <cell r="X153">
            <v>7.6916162094506895</v>
          </cell>
          <cell r="Y153">
            <v>8.0076385472031095</v>
          </cell>
          <cell r="Z153">
            <v>8.0817560893788372</v>
          </cell>
          <cell r="AA153">
            <v>7.8702454691855399</v>
          </cell>
          <cell r="AB153">
            <v>6.5874942452564582</v>
          </cell>
        </row>
        <row r="154"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</row>
        <row r="155"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</row>
        <row r="156"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Q158">
            <v>3000</v>
          </cell>
          <cell r="R158">
            <v>3000</v>
          </cell>
          <cell r="S158">
            <v>0</v>
          </cell>
          <cell r="T158">
            <v>3000</v>
          </cell>
          <cell r="U158">
            <v>3000</v>
          </cell>
          <cell r="V158">
            <v>0</v>
          </cell>
          <cell r="W158">
            <v>0</v>
          </cell>
          <cell r="X158">
            <v>3000</v>
          </cell>
          <cell r="Y158">
            <v>0</v>
          </cell>
          <cell r="Z158">
            <v>0</v>
          </cell>
          <cell r="AA158">
            <v>3000</v>
          </cell>
          <cell r="AB158">
            <v>0</v>
          </cell>
        </row>
        <row r="159"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Q160">
            <v>6000</v>
          </cell>
          <cell r="R160">
            <v>7000</v>
          </cell>
          <cell r="S160">
            <v>5000</v>
          </cell>
          <cell r="T160">
            <v>5000</v>
          </cell>
          <cell r="U160">
            <v>5000</v>
          </cell>
          <cell r="V160">
            <v>5520.4085533632406</v>
          </cell>
          <cell r="W160">
            <v>5570.0216954862717</v>
          </cell>
          <cell r="X160">
            <v>5351.6927912973642</v>
          </cell>
          <cell r="Y160">
            <v>5571.5756378648412</v>
          </cell>
          <cell r="Z160">
            <v>5623.1453347099787</v>
          </cell>
          <cell r="AA160">
            <v>5475.9799236250519</v>
          </cell>
          <cell r="AB160">
            <v>4583.4639307321349</v>
          </cell>
        </row>
        <row r="161">
          <cell r="Q161">
            <v>5000</v>
          </cell>
          <cell r="R161">
            <v>6000</v>
          </cell>
          <cell r="S161">
            <v>6000</v>
          </cell>
          <cell r="T161">
            <v>6000</v>
          </cell>
          <cell r="U161">
            <v>5000</v>
          </cell>
          <cell r="V161">
            <v>4484.491107524972</v>
          </cell>
          <cell r="W161">
            <v>4524.7942286647212</v>
          </cell>
          <cell r="X161">
            <v>4347.4352488199547</v>
          </cell>
          <cell r="Y161">
            <v>4526.0565701582782</v>
          </cell>
          <cell r="Z161">
            <v>4567.9490939967336</v>
          </cell>
          <cell r="AA161">
            <v>4448.3996130179139</v>
          </cell>
          <cell r="AB161">
            <v>3723.3663125362586</v>
          </cell>
        </row>
        <row r="162"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</row>
        <row r="163"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</row>
        <row r="164">
          <cell r="Q164">
            <v>3000</v>
          </cell>
          <cell r="R164">
            <v>3000</v>
          </cell>
          <cell r="S164">
            <v>3000</v>
          </cell>
          <cell r="T164">
            <v>3000</v>
          </cell>
          <cell r="U164">
            <v>3000</v>
          </cell>
          <cell r="V164">
            <v>4139.5302530999743</v>
          </cell>
          <cell r="W164">
            <v>4176.7331341520512</v>
          </cell>
          <cell r="X164">
            <v>4013.0171527568814</v>
          </cell>
          <cell r="Y164">
            <v>4177.8983724537957</v>
          </cell>
          <cell r="Z164">
            <v>4216.5683944585235</v>
          </cell>
          <cell r="AA164">
            <v>4106.215027401151</v>
          </cell>
          <cell r="AB164">
            <v>3436.9535192642393</v>
          </cell>
        </row>
        <row r="165">
          <cell r="Q165">
            <v>3000</v>
          </cell>
          <cell r="R165">
            <v>3000</v>
          </cell>
          <cell r="S165">
            <v>3000</v>
          </cell>
          <cell r="T165">
            <v>3000</v>
          </cell>
          <cell r="U165">
            <v>3000</v>
          </cell>
          <cell r="V165">
            <v>3501.3526724137287</v>
          </cell>
          <cell r="W165">
            <v>3532.82010930361</v>
          </cell>
          <cell r="X165">
            <v>3394.3436750401956</v>
          </cell>
          <cell r="Y165">
            <v>3533.8057067005025</v>
          </cell>
          <cell r="Z165">
            <v>3566.5141003128342</v>
          </cell>
          <cell r="AA165">
            <v>3473.1735440101406</v>
          </cell>
          <cell r="AB165">
            <v>2907.0898517110022</v>
          </cell>
        </row>
        <row r="166">
          <cell r="Q166">
            <v>10000</v>
          </cell>
          <cell r="R166">
            <v>6000</v>
          </cell>
          <cell r="S166">
            <v>5000</v>
          </cell>
          <cell r="T166">
            <v>5000</v>
          </cell>
          <cell r="U166">
            <v>5000</v>
          </cell>
          <cell r="V166">
            <v>8106.5800789874493</v>
          </cell>
          <cell r="W166">
            <v>8179.4357210477656</v>
          </cell>
          <cell r="X166">
            <v>7858.8252574822254</v>
          </cell>
          <cell r="Y166">
            <v>8181.7176460553492</v>
          </cell>
          <cell r="Z166">
            <v>8257.4464391479414</v>
          </cell>
          <cell r="AA166">
            <v>8041.337761993921</v>
          </cell>
          <cell r="AB166">
            <v>6730.7006418924675</v>
          </cell>
        </row>
        <row r="167">
          <cell r="Q167">
            <v>0</v>
          </cell>
          <cell r="R167">
            <v>2000</v>
          </cell>
          <cell r="S167">
            <v>0</v>
          </cell>
          <cell r="T167">
            <v>0</v>
          </cell>
          <cell r="U167">
            <v>2000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Q168">
            <v>5000</v>
          </cell>
          <cell r="R168">
            <v>3000</v>
          </cell>
          <cell r="S168">
            <v>4000</v>
          </cell>
          <cell r="T168">
            <v>3000</v>
          </cell>
          <cell r="U168">
            <v>5000</v>
          </cell>
          <cell r="V168">
            <v>7071.6975157124562</v>
          </cell>
          <cell r="W168">
            <v>7135.2524375097528</v>
          </cell>
          <cell r="X168">
            <v>6855.5709692930059</v>
          </cell>
          <cell r="Y168">
            <v>7137.2430529419007</v>
          </cell>
          <cell r="Z168">
            <v>7203.3043405333101</v>
          </cell>
          <cell r="AA168">
            <v>7014.7840051436333</v>
          </cell>
          <cell r="AB168">
            <v>5871.4622620764085</v>
          </cell>
        </row>
        <row r="169">
          <cell r="Q169">
            <v>3000</v>
          </cell>
          <cell r="R169">
            <v>3000</v>
          </cell>
          <cell r="S169">
            <v>3000</v>
          </cell>
          <cell r="T169">
            <v>3000</v>
          </cell>
          <cell r="U169">
            <v>3000</v>
          </cell>
          <cell r="V169">
            <v>2932.1672626124819</v>
          </cell>
          <cell r="W169">
            <v>2958.5193033577029</v>
          </cell>
          <cell r="X169">
            <v>2842.5538165361245</v>
          </cell>
          <cell r="Y169">
            <v>2959.3446804881055</v>
          </cell>
          <cell r="Z169">
            <v>2986.7359460747875</v>
          </cell>
          <cell r="AA169">
            <v>2908.5689777424823</v>
          </cell>
          <cell r="AB169">
            <v>2434.5087428121697</v>
          </cell>
        </row>
        <row r="170"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</row>
        <row r="171"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</row>
        <row r="172">
          <cell r="Q172">
            <v>0</v>
          </cell>
          <cell r="R172">
            <v>6000</v>
          </cell>
          <cell r="S172">
            <v>7000</v>
          </cell>
          <cell r="T172">
            <v>5000</v>
          </cell>
          <cell r="U172">
            <v>5000</v>
          </cell>
          <cell r="V172">
            <v>4484.491107524972</v>
          </cell>
          <cell r="W172">
            <v>4524.7942286647212</v>
          </cell>
          <cell r="X172">
            <v>4347.4352488199547</v>
          </cell>
          <cell r="Y172">
            <v>4526.0565701582782</v>
          </cell>
          <cell r="Z172">
            <v>4567.9490939967336</v>
          </cell>
          <cell r="AA172">
            <v>4448.3996130179139</v>
          </cell>
          <cell r="AB172">
            <v>3723.3663125362586</v>
          </cell>
        </row>
        <row r="173">
          <cell r="Q173">
            <v>10000</v>
          </cell>
          <cell r="R173">
            <v>10000</v>
          </cell>
          <cell r="S173">
            <v>10000</v>
          </cell>
          <cell r="T173">
            <v>10000</v>
          </cell>
          <cell r="U173">
            <v>10000</v>
          </cell>
          <cell r="V173">
            <v>10693.786487174935</v>
          </cell>
          <cell r="W173">
            <v>10789.893929892798</v>
          </cell>
          <cell r="X173">
            <v>10366.960977955277</v>
          </cell>
          <cell r="Y173">
            <v>10792.904128838973</v>
          </cell>
          <cell r="Z173">
            <v>10892.801685684519</v>
          </cell>
          <cell r="AA173">
            <v>10607.722154119641</v>
          </cell>
          <cell r="AB173">
            <v>8878.7965914326178</v>
          </cell>
        </row>
        <row r="174">
          <cell r="Q174">
            <v>2000</v>
          </cell>
          <cell r="R174">
            <v>2500</v>
          </cell>
          <cell r="S174">
            <v>2000</v>
          </cell>
          <cell r="T174">
            <v>0</v>
          </cell>
          <cell r="U174">
            <v>2000</v>
          </cell>
          <cell r="V174">
            <v>1724.8042721249894</v>
          </cell>
          <cell r="W174">
            <v>1740.3054725633547</v>
          </cell>
          <cell r="X174">
            <v>1672.0904803153674</v>
          </cell>
          <cell r="Y174">
            <v>1740.7909885224149</v>
          </cell>
          <cell r="Z174">
            <v>1756.9034976910514</v>
          </cell>
          <cell r="AA174">
            <v>1710.9229280838131</v>
          </cell>
          <cell r="AB174">
            <v>1432.0639663600996</v>
          </cell>
        </row>
        <row r="175">
          <cell r="Q175">
            <v>0</v>
          </cell>
          <cell r="R175">
            <v>2000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Q176">
            <v>5000</v>
          </cell>
          <cell r="R176">
            <v>12000</v>
          </cell>
          <cell r="S176">
            <v>10000</v>
          </cell>
          <cell r="T176">
            <v>6000</v>
          </cell>
          <cell r="U176">
            <v>6000</v>
          </cell>
          <cell r="V176">
            <v>3967.0498258874759</v>
          </cell>
          <cell r="W176">
            <v>4002.7025868957157</v>
          </cell>
          <cell r="X176">
            <v>3845.8081047253449</v>
          </cell>
          <cell r="Y176">
            <v>4003.8192736015544</v>
          </cell>
          <cell r="Z176">
            <v>4040.8780446894184</v>
          </cell>
          <cell r="AA176">
            <v>3935.12273459277</v>
          </cell>
          <cell r="AB176">
            <v>3293.7471226282291</v>
          </cell>
        </row>
        <row r="177"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</row>
        <row r="179"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</row>
        <row r="180"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</row>
        <row r="181"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</row>
        <row r="182"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</row>
        <row r="183"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</row>
        <row r="184">
          <cell r="Q184">
            <v>10841</v>
          </cell>
          <cell r="R184">
            <v>0</v>
          </cell>
          <cell r="S184">
            <v>12826</v>
          </cell>
          <cell r="T184">
            <v>6000</v>
          </cell>
          <cell r="U184">
            <v>6428.7479779315736</v>
          </cell>
          <cell r="V184">
            <v>6403.3358602640228</v>
          </cell>
          <cell r="W184">
            <v>6460.8840668914536</v>
          </cell>
          <cell r="X184">
            <v>6207.6359081708006</v>
          </cell>
          <cell r="Y184">
            <v>6462.686544889465</v>
          </cell>
          <cell r="Z184">
            <v>6522.5042351780285</v>
          </cell>
          <cell r="AA184">
            <v>6351.8013705111562</v>
          </cell>
          <cell r="AB184">
            <v>5316.5374751118698</v>
          </cell>
        </row>
        <row r="185">
          <cell r="Q185">
            <v>0</v>
          </cell>
          <cell r="R185">
            <v>0</v>
          </cell>
          <cell r="S185">
            <v>466</v>
          </cell>
          <cell r="T185">
            <v>3500</v>
          </cell>
          <cell r="U185">
            <v>919.50577138900087</v>
          </cell>
          <cell r="V185">
            <v>915.87106849836937</v>
          </cell>
          <cell r="W185">
            <v>924.10220593114127</v>
          </cell>
          <cell r="X185">
            <v>887.88004504746004</v>
          </cell>
          <cell r="Y185">
            <v>924.36001490540229</v>
          </cell>
          <cell r="Z185">
            <v>932.91575727394832</v>
          </cell>
          <cell r="AA185">
            <v>908.50007481250475</v>
          </cell>
          <cell r="AB185">
            <v>760.42596613721287</v>
          </cell>
        </row>
        <row r="186"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Q188">
            <v>6151</v>
          </cell>
          <cell r="R188">
            <v>2995</v>
          </cell>
          <cell r="S188">
            <v>9983</v>
          </cell>
          <cell r="T188">
            <v>23000</v>
          </cell>
          <cell r="U188">
            <v>5561.8843448669159</v>
          </cell>
          <cell r="V188">
            <v>5539.8988416382535</v>
          </cell>
          <cell r="W188">
            <v>5589.687147326239</v>
          </cell>
          <cell r="X188">
            <v>5370.5874137249284</v>
          </cell>
          <cell r="Y188">
            <v>5591.2465760351442</v>
          </cell>
          <cell r="Z188">
            <v>5642.998344233888</v>
          </cell>
          <cell r="AA188">
            <v>5495.3133527123991</v>
          </cell>
          <cell r="AB188">
            <v>4599.6462535520041</v>
          </cell>
        </row>
        <row r="189">
          <cell r="Q189">
            <v>2979</v>
          </cell>
          <cell r="R189">
            <v>21566</v>
          </cell>
          <cell r="S189">
            <v>0</v>
          </cell>
          <cell r="T189">
            <v>26000</v>
          </cell>
          <cell r="U189">
            <v>5301.6174570330795</v>
          </cell>
          <cell r="V189">
            <v>5280.6607595378673</v>
          </cell>
          <cell r="W189">
            <v>5328.1192347999668</v>
          </cell>
          <cell r="X189">
            <v>5119.2722145335283</v>
          </cell>
          <cell r="Y189">
            <v>5329.6056904602256</v>
          </cell>
          <cell r="Z189">
            <v>5378.9357485309229</v>
          </cell>
          <cell r="AA189">
            <v>5238.1616366214021</v>
          </cell>
          <cell r="AB189">
            <v>4384.4070394080809</v>
          </cell>
        </row>
        <row r="190"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793.61486822519612</v>
          </cell>
          <cell r="V190">
            <v>790.47779791488267</v>
          </cell>
          <cell r="W190">
            <v>797.58199807578546</v>
          </cell>
          <cell r="X190">
            <v>766.31906712853288</v>
          </cell>
          <cell r="Y190">
            <v>797.80451003982273</v>
          </cell>
          <cell r="Z190">
            <v>805.18887299180892</v>
          </cell>
          <cell r="AA190">
            <v>784.1159779408116</v>
          </cell>
          <cell r="AB190">
            <v>656.31491578283374</v>
          </cell>
        </row>
        <row r="191"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781.83965307369851</v>
          </cell>
          <cell r="V191">
            <v>778.74912886443269</v>
          </cell>
          <cell r="W191">
            <v>785.74792086235459</v>
          </cell>
          <cell r="X191">
            <v>754.94885186238832</v>
          </cell>
          <cell r="Y191">
            <v>785.96713131787033</v>
          </cell>
          <cell r="Z191">
            <v>793.24192920750966</v>
          </cell>
          <cell r="AA191">
            <v>772.48170202984159</v>
          </cell>
          <cell r="AB191">
            <v>646.57688081158494</v>
          </cell>
        </row>
        <row r="192">
          <cell r="Q192">
            <v>4511</v>
          </cell>
          <cell r="R192">
            <v>3955</v>
          </cell>
          <cell r="S192">
            <v>0</v>
          </cell>
          <cell r="T192">
            <v>4000</v>
          </cell>
          <cell r="U192">
            <v>1457.356039926522</v>
          </cell>
          <cell r="V192">
            <v>1451.5952754203911</v>
          </cell>
          <cell r="W192">
            <v>1464.6410857093192</v>
          </cell>
          <cell r="X192">
            <v>1407.2313482334132</v>
          </cell>
          <cell r="Y192">
            <v>1465.0496959404645</v>
          </cell>
          <cell r="Z192">
            <v>1478.6099836567889</v>
          </cell>
          <cell r="AA192">
            <v>1439.9127362753372</v>
          </cell>
          <cell r="AB192">
            <v>1205.2250340886599</v>
          </cell>
        </row>
        <row r="193">
          <cell r="Q193">
            <v>3726</v>
          </cell>
          <cell r="R193">
            <v>4167</v>
          </cell>
          <cell r="S193">
            <v>2518</v>
          </cell>
          <cell r="T193">
            <v>3500</v>
          </cell>
          <cell r="U193">
            <v>1036.3920982604841</v>
          </cell>
          <cell r="V193">
            <v>1032.2953568668061</v>
          </cell>
          <cell r="W193">
            <v>1041.5728253291677</v>
          </cell>
          <cell r="X193">
            <v>1000.7461524687473</v>
          </cell>
          <cell r="Y193">
            <v>1041.8634066306654</v>
          </cell>
          <cell r="Z193">
            <v>1051.5067433680942</v>
          </cell>
          <cell r="AA193">
            <v>1023.9873724581621</v>
          </cell>
          <cell r="AB193">
            <v>857.0902838665196</v>
          </cell>
        </row>
        <row r="194">
          <cell r="Q194">
            <v>9</v>
          </cell>
          <cell r="R194">
            <v>8</v>
          </cell>
          <cell r="S194">
            <v>4</v>
          </cell>
          <cell r="T194">
            <v>9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Q195">
            <v>7206</v>
          </cell>
          <cell r="R195">
            <v>10985</v>
          </cell>
          <cell r="S195">
            <v>8173</v>
          </cell>
          <cell r="T195">
            <v>6542</v>
          </cell>
          <cell r="U195">
            <v>7530</v>
          </cell>
          <cell r="V195">
            <v>7236</v>
          </cell>
          <cell r="W195">
            <v>6423</v>
          </cell>
          <cell r="X195">
            <v>8304</v>
          </cell>
          <cell r="Y195">
            <v>7534</v>
          </cell>
          <cell r="Z195">
            <v>5823</v>
          </cell>
          <cell r="AA195">
            <v>4879</v>
          </cell>
          <cell r="AB195">
            <v>4413</v>
          </cell>
        </row>
        <row r="196">
          <cell r="Q196">
            <v>1</v>
          </cell>
          <cell r="R196">
            <v>1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Q197">
            <v>0</v>
          </cell>
          <cell r="R197">
            <v>6000</v>
          </cell>
          <cell r="S197">
            <v>1000</v>
          </cell>
          <cell r="T197">
            <v>0</v>
          </cell>
          <cell r="U197">
            <v>1000</v>
          </cell>
          <cell r="V197">
            <v>1000</v>
          </cell>
          <cell r="W197">
            <v>1000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Q198">
            <v>7203</v>
          </cell>
          <cell r="R198">
            <v>7572</v>
          </cell>
          <cell r="S198">
            <v>8190</v>
          </cell>
          <cell r="T198">
            <v>6511</v>
          </cell>
          <cell r="U198">
            <v>7560</v>
          </cell>
          <cell r="V198">
            <v>7236</v>
          </cell>
          <cell r="W198">
            <v>6423</v>
          </cell>
          <cell r="X198">
            <v>8304</v>
          </cell>
          <cell r="Y198">
            <v>7534</v>
          </cell>
          <cell r="Z198">
            <v>5823</v>
          </cell>
          <cell r="AA198">
            <v>4879</v>
          </cell>
          <cell r="AB198">
            <v>4413</v>
          </cell>
        </row>
        <row r="199">
          <cell r="Q199">
            <v>13971</v>
          </cell>
          <cell r="R199">
            <v>15846</v>
          </cell>
          <cell r="S199">
            <v>15116</v>
          </cell>
          <cell r="T199">
            <v>10800</v>
          </cell>
          <cell r="U199">
            <v>15480</v>
          </cell>
          <cell r="V199">
            <v>13084</v>
          </cell>
          <cell r="W199">
            <v>11581</v>
          </cell>
          <cell r="X199">
            <v>12042</v>
          </cell>
          <cell r="Y199">
            <v>14206</v>
          </cell>
          <cell r="Z199">
            <v>16486</v>
          </cell>
          <cell r="AA199">
            <v>16652</v>
          </cell>
          <cell r="AB199">
            <v>14829</v>
          </cell>
        </row>
        <row r="200">
          <cell r="Q200">
            <v>10975</v>
          </cell>
          <cell r="R200">
            <v>10765</v>
          </cell>
          <cell r="S200">
            <v>12764</v>
          </cell>
          <cell r="T200">
            <v>9720</v>
          </cell>
          <cell r="U200">
            <v>11340</v>
          </cell>
          <cell r="V200">
            <v>10349</v>
          </cell>
          <cell r="W200">
            <v>9403</v>
          </cell>
          <cell r="X200">
            <v>10506</v>
          </cell>
          <cell r="Y200">
            <v>10065</v>
          </cell>
          <cell r="Z200">
            <v>10806</v>
          </cell>
          <cell r="AA200">
            <v>9401</v>
          </cell>
          <cell r="AB200">
            <v>9617</v>
          </cell>
        </row>
        <row r="201">
          <cell r="Q201">
            <v>345</v>
          </cell>
          <cell r="R201">
            <v>270</v>
          </cell>
          <cell r="S201">
            <v>480</v>
          </cell>
          <cell r="T201">
            <v>285</v>
          </cell>
          <cell r="U201">
            <v>285</v>
          </cell>
          <cell r="V201">
            <v>345</v>
          </cell>
          <cell r="W201">
            <v>195</v>
          </cell>
          <cell r="X201">
            <v>105</v>
          </cell>
          <cell r="Y201">
            <v>45</v>
          </cell>
          <cell r="Z201">
            <v>45</v>
          </cell>
          <cell r="AA201">
            <v>165</v>
          </cell>
          <cell r="AB201">
            <v>180</v>
          </cell>
        </row>
        <row r="202">
          <cell r="Q202">
            <v>345</v>
          </cell>
          <cell r="R202">
            <v>255</v>
          </cell>
          <cell r="S202">
            <v>495</v>
          </cell>
          <cell r="T202">
            <v>285</v>
          </cell>
          <cell r="U202">
            <v>300</v>
          </cell>
          <cell r="V202">
            <v>345</v>
          </cell>
          <cell r="W202">
            <v>195</v>
          </cell>
          <cell r="X202">
            <v>105</v>
          </cell>
          <cell r="Y202">
            <v>45</v>
          </cell>
          <cell r="Z202">
            <v>45</v>
          </cell>
          <cell r="AA202">
            <v>165</v>
          </cell>
          <cell r="AB202">
            <v>180</v>
          </cell>
        </row>
        <row r="203">
          <cell r="Q203">
            <v>1238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Q204">
            <v>50600</v>
          </cell>
          <cell r="R204">
            <v>81400</v>
          </cell>
          <cell r="S204">
            <v>66000</v>
          </cell>
          <cell r="T204">
            <v>66000</v>
          </cell>
          <cell r="U204">
            <v>66000</v>
          </cell>
          <cell r="V204">
            <v>66000</v>
          </cell>
          <cell r="W204">
            <v>55460.141814922608</v>
          </cell>
          <cell r="X204">
            <v>53286.263031214134</v>
          </cell>
          <cell r="Y204">
            <v>55475.614261781739</v>
          </cell>
          <cell r="Z204">
            <v>55989.088509593304</v>
          </cell>
          <cell r="AA204">
            <v>54523.777418321355</v>
          </cell>
          <cell r="AB204">
            <v>45637.086083161972</v>
          </cell>
        </row>
        <row r="205"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</row>
        <row r="207"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</row>
        <row r="208"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</row>
        <row r="209"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</row>
        <row r="210"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</row>
        <row r="211"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</row>
        <row r="212"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</row>
        <row r="213"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</row>
        <row r="214"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</row>
        <row r="215"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</row>
        <row r="217"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</row>
        <row r="218"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</row>
        <row r="219">
          <cell r="Q219">
            <v>2355</v>
          </cell>
          <cell r="R219">
            <v>2440</v>
          </cell>
          <cell r="S219">
            <v>2400</v>
          </cell>
          <cell r="T219">
            <v>1680</v>
          </cell>
          <cell r="U219">
            <v>2160</v>
          </cell>
          <cell r="V219">
            <v>1320</v>
          </cell>
          <cell r="W219">
            <v>1080</v>
          </cell>
          <cell r="X219">
            <v>0</v>
          </cell>
          <cell r="Y219">
            <v>1813.2949331943735</v>
          </cell>
          <cell r="Z219">
            <v>1830.0785283698835</v>
          </cell>
          <cell r="AA219">
            <v>1782.1828680385038</v>
          </cell>
          <cell r="AB219">
            <v>1491.7094305589976</v>
          </cell>
        </row>
        <row r="220"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</row>
        <row r="221"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</row>
        <row r="222"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</row>
        <row r="223"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</row>
        <row r="233"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</row>
        <row r="234"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</row>
        <row r="235"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</row>
        <row r="236"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</row>
        <row r="237"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</row>
        <row r="238"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</row>
        <row r="239"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</row>
        <row r="240">
          <cell r="Q240">
            <v>2340</v>
          </cell>
          <cell r="R240">
            <v>1320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5367.4104418123288</v>
          </cell>
          <cell r="Y240">
            <v>5587.939073156952</v>
          </cell>
          <cell r="Z240">
            <v>5639.6602275882751</v>
          </cell>
          <cell r="AA240">
            <v>5492.0625991490397</v>
          </cell>
          <cell r="AB240">
            <v>4596.9253320159196</v>
          </cell>
        </row>
        <row r="241">
          <cell r="Q241">
            <v>0</v>
          </cell>
          <cell r="R241">
            <v>1800</v>
          </cell>
          <cell r="S241">
            <v>1960</v>
          </cell>
          <cell r="T241">
            <v>480</v>
          </cell>
          <cell r="U241">
            <v>400</v>
          </cell>
          <cell r="V241">
            <v>400</v>
          </cell>
          <cell r="W241">
            <v>0</v>
          </cell>
          <cell r="X241">
            <v>516.67595841744844</v>
          </cell>
          <cell r="Y241">
            <v>537.90441545342617</v>
          </cell>
          <cell r="Z241">
            <v>542.88318078653492</v>
          </cell>
          <cell r="AA241">
            <v>528.67518477789827</v>
          </cell>
          <cell r="AB241">
            <v>442.50776560527078</v>
          </cell>
        </row>
        <row r="242"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</row>
        <row r="243">
          <cell r="Q243">
            <v>378</v>
          </cell>
          <cell r="R243">
            <v>216</v>
          </cell>
          <cell r="S243">
            <v>144</v>
          </cell>
          <cell r="T243">
            <v>0</v>
          </cell>
          <cell r="U243">
            <v>720</v>
          </cell>
          <cell r="V243">
            <v>720</v>
          </cell>
          <cell r="W243">
            <v>720</v>
          </cell>
          <cell r="X243">
            <v>75.244071614191526</v>
          </cell>
          <cell r="Y243">
            <v>78.335594483508672</v>
          </cell>
          <cell r="Z243">
            <v>79.060657396097312</v>
          </cell>
          <cell r="AA243">
            <v>76.99153176377159</v>
          </cell>
          <cell r="AB243">
            <v>64.442878486204478</v>
          </cell>
        </row>
        <row r="244">
          <cell r="Q244">
            <v>315</v>
          </cell>
          <cell r="R244">
            <v>1365</v>
          </cell>
          <cell r="S244">
            <v>1680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280.91120069298171</v>
          </cell>
          <cell r="Y244">
            <v>292.4528860717657</v>
          </cell>
          <cell r="Z244">
            <v>295.15978761209664</v>
          </cell>
          <cell r="AA244">
            <v>287.4350519180806</v>
          </cell>
          <cell r="AB244">
            <v>240.58674634849675</v>
          </cell>
        </row>
        <row r="245"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</row>
        <row r="246"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</row>
        <row r="247"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</row>
        <row r="248"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</row>
        <row r="249"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</row>
        <row r="250"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</row>
        <row r="251"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</row>
        <row r="252"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</row>
        <row r="253"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</row>
        <row r="254"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</row>
        <row r="255"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</row>
        <row r="256">
          <cell r="Q256">
            <v>5401</v>
          </cell>
          <cell r="R256">
            <v>4700</v>
          </cell>
          <cell r="S256">
            <v>5400</v>
          </cell>
          <cell r="T256">
            <v>5100</v>
          </cell>
          <cell r="U256">
            <v>8200</v>
          </cell>
          <cell r="V256">
            <v>5400</v>
          </cell>
          <cell r="W256">
            <v>5899.8095825370283</v>
          </cell>
          <cell r="X256">
            <v>5334.135841254053</v>
          </cell>
          <cell r="Y256">
            <v>5866.6397104193902</v>
          </cell>
          <cell r="Z256">
            <v>6008.7856524531653</v>
          </cell>
          <cell r="AA256">
            <v>5936.8699814905003</v>
          </cell>
          <cell r="AB256">
            <v>5060.0470030745546</v>
          </cell>
        </row>
        <row r="257"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</row>
        <row r="258">
          <cell r="Q258">
            <v>897</v>
          </cell>
          <cell r="R258">
            <v>913</v>
          </cell>
          <cell r="S258">
            <v>898</v>
          </cell>
          <cell r="T258">
            <v>656</v>
          </cell>
          <cell r="U258">
            <v>1115</v>
          </cell>
          <cell r="V258">
            <v>910</v>
          </cell>
          <cell r="W258">
            <v>900.9561431460487</v>
          </cell>
          <cell r="X258">
            <v>824.67502489153912</v>
          </cell>
          <cell r="Y258">
            <v>857.68772004499374</v>
          </cell>
          <cell r="Z258">
            <v>946.79529490570758</v>
          </cell>
          <cell r="AA258">
            <v>922.69323154590256</v>
          </cell>
          <cell r="AB258">
            <v>759.65711505773152</v>
          </cell>
        </row>
        <row r="259">
          <cell r="Q259">
            <v>0</v>
          </cell>
          <cell r="R259">
            <v>600</v>
          </cell>
          <cell r="S259">
            <v>300</v>
          </cell>
          <cell r="T259">
            <v>300</v>
          </cell>
          <cell r="U259">
            <v>300</v>
          </cell>
          <cell r="V259">
            <v>300</v>
          </cell>
          <cell r="W259">
            <v>156.62749253070191</v>
          </cell>
          <cell r="X259">
            <v>200.65085763784407</v>
          </cell>
          <cell r="Y259">
            <v>261.11864827836223</v>
          </cell>
          <cell r="Z259">
            <v>316.24262958438925</v>
          </cell>
          <cell r="AA259">
            <v>334.76388386899174</v>
          </cell>
          <cell r="AB259">
            <v>223.01222108690797</v>
          </cell>
        </row>
        <row r="260">
          <cell r="Q260">
            <v>600</v>
          </cell>
          <cell r="R260">
            <v>964</v>
          </cell>
          <cell r="S260">
            <v>840</v>
          </cell>
          <cell r="T260">
            <v>580</v>
          </cell>
          <cell r="U260">
            <v>680</v>
          </cell>
          <cell r="V260">
            <v>680</v>
          </cell>
          <cell r="W260">
            <v>794.27541767791502</v>
          </cell>
          <cell r="X260">
            <v>739.73282849151849</v>
          </cell>
          <cell r="Y260">
            <v>742.27327750595771</v>
          </cell>
          <cell r="Z260">
            <v>763.19887939699277</v>
          </cell>
          <cell r="AA260">
            <v>776.46394660642886</v>
          </cell>
          <cell r="AB260">
            <v>617.7935759919576</v>
          </cell>
        </row>
        <row r="261">
          <cell r="Q261">
            <v>1202</v>
          </cell>
          <cell r="R261">
            <v>1270</v>
          </cell>
          <cell r="S261">
            <v>1330</v>
          </cell>
          <cell r="T261">
            <v>1010</v>
          </cell>
          <cell r="U261">
            <v>1280</v>
          </cell>
          <cell r="V261">
            <v>1300</v>
          </cell>
          <cell r="W261">
            <v>1413.4761048159567</v>
          </cell>
          <cell r="X261">
            <v>1259.4185497735346</v>
          </cell>
          <cell r="Y261">
            <v>1234.5689690600966</v>
          </cell>
          <cell r="Z261">
            <v>1298.7030654932253</v>
          </cell>
          <cell r="AA261">
            <v>1300.8961600867021</v>
          </cell>
          <cell r="AB261">
            <v>1087.3510835205825</v>
          </cell>
        </row>
        <row r="262">
          <cell r="Q262">
            <v>1056</v>
          </cell>
          <cell r="R262">
            <v>1332</v>
          </cell>
          <cell r="S262">
            <v>1332</v>
          </cell>
          <cell r="T262">
            <v>1040</v>
          </cell>
          <cell r="U262">
            <v>1240</v>
          </cell>
          <cell r="V262">
            <v>1260</v>
          </cell>
          <cell r="W262">
            <v>1398.5094777519116</v>
          </cell>
          <cell r="X262">
            <v>1286.8408336507068</v>
          </cell>
          <cell r="Y262">
            <v>1228.302121501416</v>
          </cell>
          <cell r="Z262">
            <v>1275.5119393237032</v>
          </cell>
          <cell r="AA262">
            <v>1300.7307776460241</v>
          </cell>
          <cell r="AB262">
            <v>1082.2609062119968</v>
          </cell>
        </row>
        <row r="263"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</row>
        <row r="264">
          <cell r="Q264">
            <v>24</v>
          </cell>
          <cell r="R264">
            <v>24</v>
          </cell>
          <cell r="S264">
            <v>24</v>
          </cell>
          <cell r="T264">
            <v>24</v>
          </cell>
          <cell r="U264">
            <v>24</v>
          </cell>
          <cell r="V264">
            <v>24</v>
          </cell>
          <cell r="W264">
            <v>24</v>
          </cell>
          <cell r="X264">
            <v>36</v>
          </cell>
          <cell r="Y264">
            <v>84</v>
          </cell>
          <cell r="Z264">
            <v>60</v>
          </cell>
          <cell r="AA264">
            <v>60</v>
          </cell>
          <cell r="AB264">
            <v>60</v>
          </cell>
        </row>
        <row r="265">
          <cell r="Q265">
            <v>72</v>
          </cell>
          <cell r="R265">
            <v>120</v>
          </cell>
          <cell r="S265">
            <v>96</v>
          </cell>
          <cell r="T265">
            <v>48</v>
          </cell>
          <cell r="U265">
            <v>72</v>
          </cell>
          <cell r="V265">
            <v>24</v>
          </cell>
          <cell r="W265">
            <v>48</v>
          </cell>
          <cell r="X265">
            <v>48</v>
          </cell>
          <cell r="Y265">
            <v>0</v>
          </cell>
          <cell r="Z265">
            <v>72</v>
          </cell>
          <cell r="AA265">
            <v>60</v>
          </cell>
          <cell r="AB265">
            <v>48</v>
          </cell>
        </row>
        <row r="266">
          <cell r="Q266">
            <v>156</v>
          </cell>
          <cell r="R266">
            <v>180</v>
          </cell>
          <cell r="S266">
            <v>192</v>
          </cell>
          <cell r="T266">
            <v>48</v>
          </cell>
          <cell r="U266">
            <v>84</v>
          </cell>
          <cell r="V266">
            <v>84</v>
          </cell>
          <cell r="W266">
            <v>108</v>
          </cell>
          <cell r="X266">
            <v>60</v>
          </cell>
          <cell r="Y266">
            <v>84</v>
          </cell>
          <cell r="Z266">
            <v>168</v>
          </cell>
          <cell r="AA266">
            <v>120</v>
          </cell>
          <cell r="AB266">
            <v>156</v>
          </cell>
        </row>
        <row r="267">
          <cell r="Q267">
            <v>156</v>
          </cell>
          <cell r="R267">
            <v>180</v>
          </cell>
          <cell r="S267">
            <v>192</v>
          </cell>
          <cell r="T267">
            <v>48</v>
          </cell>
          <cell r="U267">
            <v>84</v>
          </cell>
          <cell r="V267">
            <v>84</v>
          </cell>
          <cell r="W267">
            <v>108</v>
          </cell>
          <cell r="X267">
            <v>60</v>
          </cell>
          <cell r="Y267">
            <v>84</v>
          </cell>
          <cell r="Z267">
            <v>156</v>
          </cell>
          <cell r="AA267">
            <v>96</v>
          </cell>
          <cell r="AB267">
            <v>144</v>
          </cell>
        </row>
        <row r="268">
          <cell r="Q268">
            <v>60</v>
          </cell>
          <cell r="R268">
            <v>96</v>
          </cell>
          <cell r="S268">
            <v>120</v>
          </cell>
          <cell r="T268">
            <v>84</v>
          </cell>
          <cell r="U268">
            <v>60</v>
          </cell>
          <cell r="V268">
            <v>84</v>
          </cell>
          <cell r="W268">
            <v>60</v>
          </cell>
          <cell r="X268">
            <v>84</v>
          </cell>
          <cell r="Y268">
            <v>72</v>
          </cell>
          <cell r="Z268">
            <v>120</v>
          </cell>
          <cell r="AA268">
            <v>72</v>
          </cell>
          <cell r="AB268">
            <v>108</v>
          </cell>
        </row>
        <row r="269">
          <cell r="Q269">
            <v>133</v>
          </cell>
          <cell r="R269">
            <v>217</v>
          </cell>
          <cell r="S269">
            <v>216</v>
          </cell>
          <cell r="T269">
            <v>132</v>
          </cell>
          <cell r="U269">
            <v>132</v>
          </cell>
          <cell r="V269">
            <v>108</v>
          </cell>
          <cell r="W269">
            <v>120</v>
          </cell>
          <cell r="X269">
            <v>156</v>
          </cell>
          <cell r="Y269">
            <v>96</v>
          </cell>
          <cell r="Z269">
            <v>228</v>
          </cell>
          <cell r="AA269">
            <v>144</v>
          </cell>
          <cell r="AB269">
            <v>168</v>
          </cell>
        </row>
        <row r="270">
          <cell r="Q270">
            <v>7964</v>
          </cell>
          <cell r="R270">
            <v>8687</v>
          </cell>
          <cell r="S270">
            <v>7874</v>
          </cell>
          <cell r="T270">
            <v>8270</v>
          </cell>
          <cell r="U270">
            <v>10368</v>
          </cell>
          <cell r="V270">
            <v>11711</v>
          </cell>
          <cell r="W270">
            <v>8889.828414948126</v>
          </cell>
          <cell r="X270">
            <v>8253.4386108366525</v>
          </cell>
          <cell r="Y270">
            <v>8796.3909441026153</v>
          </cell>
          <cell r="Z270">
            <v>9640.8322532298753</v>
          </cell>
          <cell r="AA270">
            <v>9546.9205818277387</v>
          </cell>
          <cell r="AB270">
            <v>7928.8035959497747</v>
          </cell>
        </row>
        <row r="271"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</row>
        <row r="272">
          <cell r="Q272">
            <v>24</v>
          </cell>
          <cell r="R272">
            <v>24</v>
          </cell>
          <cell r="S272">
            <v>24</v>
          </cell>
          <cell r="T272">
            <v>24</v>
          </cell>
          <cell r="U272">
            <v>24</v>
          </cell>
          <cell r="V272">
            <v>24</v>
          </cell>
          <cell r="W272">
            <v>24</v>
          </cell>
          <cell r="X272">
            <v>24</v>
          </cell>
          <cell r="Y272">
            <v>24</v>
          </cell>
          <cell r="Z272">
            <v>24</v>
          </cell>
          <cell r="AA272">
            <v>24</v>
          </cell>
          <cell r="AB272">
            <v>24</v>
          </cell>
        </row>
        <row r="273"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</row>
        <row r="274"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</row>
        <row r="275">
          <cell r="Q275">
            <v>1200</v>
          </cell>
          <cell r="R275">
            <v>1920</v>
          </cell>
          <cell r="S275">
            <v>1680</v>
          </cell>
          <cell r="T275">
            <v>1160</v>
          </cell>
          <cell r="U275">
            <v>1360</v>
          </cell>
          <cell r="V275">
            <v>1360</v>
          </cell>
          <cell r="W275">
            <v>1587.1585909777793</v>
          </cell>
          <cell r="X275">
            <v>1478.1279845987847</v>
          </cell>
          <cell r="Y275">
            <v>1483.1539222210974</v>
          </cell>
          <cell r="Z275">
            <v>1524.9922359958327</v>
          </cell>
          <cell r="AA275">
            <v>1551.3209525876002</v>
          </cell>
          <cell r="AB275">
            <v>1235.1962104412694</v>
          </cell>
        </row>
        <row r="276"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</row>
        <row r="277"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</row>
        <row r="278"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</row>
        <row r="279"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</row>
        <row r="280"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</row>
        <row r="281"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</row>
        <row r="282">
          <cell r="Q282">
            <v>2448</v>
          </cell>
          <cell r="R282">
            <v>2832</v>
          </cell>
          <cell r="S282">
            <v>2400</v>
          </cell>
          <cell r="T282">
            <v>2020</v>
          </cell>
          <cell r="U282">
            <v>2560</v>
          </cell>
          <cell r="V282">
            <v>2600</v>
          </cell>
          <cell r="W282">
            <v>2806.7646661501781</v>
          </cell>
          <cell r="X282">
            <v>2568.99981395653</v>
          </cell>
          <cell r="Y282">
            <v>2535.984312079454</v>
          </cell>
          <cell r="Z282">
            <v>2610.7585975689021</v>
          </cell>
          <cell r="AA282">
            <v>2603.8133404428136</v>
          </cell>
          <cell r="AB282">
            <v>2141.7611401329109</v>
          </cell>
        </row>
        <row r="283"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</row>
        <row r="284">
          <cell r="Q284">
            <v>24</v>
          </cell>
          <cell r="R284">
            <v>12</v>
          </cell>
          <cell r="S284">
            <v>36</v>
          </cell>
          <cell r="T284">
            <v>24</v>
          </cell>
          <cell r="U284">
            <v>12</v>
          </cell>
          <cell r="V284">
            <v>24</v>
          </cell>
          <cell r="W284">
            <v>12</v>
          </cell>
          <cell r="X284">
            <v>12</v>
          </cell>
          <cell r="Y284">
            <v>12</v>
          </cell>
          <cell r="Z284">
            <v>24</v>
          </cell>
          <cell r="AA284">
            <v>12</v>
          </cell>
          <cell r="AB284">
            <v>12</v>
          </cell>
        </row>
        <row r="285"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</row>
        <row r="286">
          <cell r="Q286">
            <v>468</v>
          </cell>
          <cell r="R286">
            <v>504</v>
          </cell>
          <cell r="S286">
            <v>396</v>
          </cell>
          <cell r="T286">
            <v>504</v>
          </cell>
          <cell r="U286">
            <v>828</v>
          </cell>
          <cell r="V286">
            <v>756</v>
          </cell>
          <cell r="W286">
            <v>612</v>
          </cell>
          <cell r="X286">
            <v>792</v>
          </cell>
          <cell r="Y286">
            <v>684</v>
          </cell>
          <cell r="Z286">
            <v>720</v>
          </cell>
          <cell r="AA286">
            <v>756</v>
          </cell>
          <cell r="AB286">
            <v>684</v>
          </cell>
        </row>
        <row r="287">
          <cell r="Q287">
            <v>12</v>
          </cell>
          <cell r="R287">
            <v>6</v>
          </cell>
          <cell r="S287">
            <v>18</v>
          </cell>
          <cell r="T287">
            <v>12</v>
          </cell>
          <cell r="U287">
            <v>6</v>
          </cell>
          <cell r="V287">
            <v>12</v>
          </cell>
          <cell r="W287">
            <v>6</v>
          </cell>
          <cell r="X287">
            <v>6</v>
          </cell>
          <cell r="Y287">
            <v>6</v>
          </cell>
          <cell r="Z287">
            <v>12</v>
          </cell>
          <cell r="AA287">
            <v>6</v>
          </cell>
          <cell r="AB287">
            <v>6</v>
          </cell>
        </row>
        <row r="288"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</row>
        <row r="289">
          <cell r="Q289">
            <v>12</v>
          </cell>
          <cell r="R289">
            <v>12</v>
          </cell>
          <cell r="S289">
            <v>12</v>
          </cell>
          <cell r="T289">
            <v>12</v>
          </cell>
          <cell r="U289">
            <v>24</v>
          </cell>
          <cell r="V289">
            <v>12</v>
          </cell>
          <cell r="W289">
            <v>12</v>
          </cell>
          <cell r="X289">
            <v>12</v>
          </cell>
          <cell r="Y289">
            <v>12</v>
          </cell>
          <cell r="Z289">
            <v>12</v>
          </cell>
          <cell r="AA289">
            <v>12</v>
          </cell>
          <cell r="AB289">
            <v>12</v>
          </cell>
        </row>
        <row r="290">
          <cell r="Q290">
            <v>468</v>
          </cell>
          <cell r="R290">
            <v>486</v>
          </cell>
          <cell r="S290">
            <v>414</v>
          </cell>
          <cell r="T290">
            <v>504</v>
          </cell>
          <cell r="U290">
            <v>774</v>
          </cell>
          <cell r="V290">
            <v>756</v>
          </cell>
          <cell r="W290">
            <v>594</v>
          </cell>
          <cell r="X290">
            <v>774</v>
          </cell>
          <cell r="Y290">
            <v>666</v>
          </cell>
          <cell r="Z290">
            <v>720</v>
          </cell>
          <cell r="AA290">
            <v>738</v>
          </cell>
          <cell r="AB290">
            <v>666</v>
          </cell>
        </row>
        <row r="291">
          <cell r="Q291">
            <v>24</v>
          </cell>
          <cell r="R291">
            <v>24</v>
          </cell>
          <cell r="S291">
            <v>24</v>
          </cell>
          <cell r="T291">
            <v>24</v>
          </cell>
          <cell r="U291">
            <v>48</v>
          </cell>
          <cell r="V291">
            <v>24</v>
          </cell>
          <cell r="W291">
            <v>24</v>
          </cell>
          <cell r="X291">
            <v>24</v>
          </cell>
          <cell r="Y291">
            <v>24</v>
          </cell>
          <cell r="Z291">
            <v>24</v>
          </cell>
          <cell r="AA291">
            <v>24</v>
          </cell>
          <cell r="AB291">
            <v>24</v>
          </cell>
        </row>
        <row r="292"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</row>
        <row r="293">
          <cell r="Q293">
            <v>162</v>
          </cell>
          <cell r="R293">
            <v>27</v>
          </cell>
          <cell r="S293">
            <v>54</v>
          </cell>
          <cell r="T293">
            <v>0</v>
          </cell>
          <cell r="U293">
            <v>27</v>
          </cell>
          <cell r="V293">
            <v>27</v>
          </cell>
          <cell r="W293">
            <v>161.32631730662297</v>
          </cell>
          <cell r="X293">
            <v>116.87912457404417</v>
          </cell>
          <cell r="Y293">
            <v>86.691391228416265</v>
          </cell>
          <cell r="Z293">
            <v>52.180033881424222</v>
          </cell>
          <cell r="AA293">
            <v>50.699149047454043</v>
          </cell>
          <cell r="AB293">
            <v>55.30708969294831</v>
          </cell>
        </row>
        <row r="294">
          <cell r="Q294">
            <v>162</v>
          </cell>
          <cell r="R294">
            <v>27</v>
          </cell>
          <cell r="S294">
            <v>54</v>
          </cell>
          <cell r="T294">
            <v>0</v>
          </cell>
          <cell r="U294">
            <v>27</v>
          </cell>
          <cell r="V294">
            <v>27</v>
          </cell>
          <cell r="W294">
            <v>161.32631730662297</v>
          </cell>
          <cell r="X294">
            <v>116.87912457404417</v>
          </cell>
          <cell r="Y294">
            <v>86.691391228416265</v>
          </cell>
          <cell r="Z294">
            <v>52.180033881424222</v>
          </cell>
          <cell r="AA294">
            <v>50.699149047454043</v>
          </cell>
          <cell r="AB294">
            <v>55.30708969294831</v>
          </cell>
        </row>
        <row r="295">
          <cell r="Q295">
            <v>1000</v>
          </cell>
          <cell r="R295">
            <v>3600</v>
          </cell>
          <cell r="S295">
            <v>9</v>
          </cell>
          <cell r="T295">
            <v>3000</v>
          </cell>
          <cell r="U295">
            <v>2500</v>
          </cell>
          <cell r="V295">
            <v>2248.7998099965612</v>
          </cell>
          <cell r="W295">
            <v>1727.9493037081547</v>
          </cell>
          <cell r="X295">
            <v>2011.3576387713551</v>
          </cell>
          <cell r="Y295">
            <v>2076.589570208389</v>
          </cell>
          <cell r="Z295">
            <v>2171.1461709948767</v>
          </cell>
          <cell r="AA295">
            <v>2238.8708189789832</v>
          </cell>
          <cell r="AB295">
            <v>0</v>
          </cell>
        </row>
        <row r="296">
          <cell r="Q296">
            <v>0</v>
          </cell>
          <cell r="R296">
            <v>0</v>
          </cell>
        </row>
        <row r="297">
          <cell r="Q297">
            <v>0</v>
          </cell>
          <cell r="R297">
            <v>0</v>
          </cell>
        </row>
        <row r="298">
          <cell r="Q298">
            <v>32400</v>
          </cell>
          <cell r="R298">
            <v>32400</v>
          </cell>
          <cell r="S298">
            <v>32400</v>
          </cell>
          <cell r="T298">
            <v>23222.5497942277</v>
          </cell>
          <cell r="U298">
            <v>29531.11402791935</v>
          </cell>
          <cell r="V298">
            <v>29414.38085575154</v>
          </cell>
          <cell r="W298">
            <v>29678.734452727309</v>
          </cell>
          <cell r="X298">
            <v>28515.413028678195</v>
          </cell>
          <cell r="Y298">
            <v>29687.014320514132</v>
          </cell>
          <cell r="Z298">
            <v>29961.793023748767</v>
          </cell>
          <cell r="AA298">
            <v>29177.651884809329</v>
          </cell>
          <cell r="AB298">
            <v>24422.06086631355</v>
          </cell>
        </row>
        <row r="299">
          <cell r="Q299">
            <v>0</v>
          </cell>
          <cell r="R299">
            <v>0</v>
          </cell>
          <cell r="S299">
            <v>16200</v>
          </cell>
          <cell r="T299">
            <v>0</v>
          </cell>
          <cell r="U299">
            <v>16000</v>
          </cell>
          <cell r="V299">
            <v>0</v>
          </cell>
          <cell r="W299">
            <v>1116</v>
          </cell>
          <cell r="X299">
            <v>8970.765426891945</v>
          </cell>
          <cell r="Y299">
            <v>9339.3436534227549</v>
          </cell>
          <cell r="Z299">
            <v>9425.7872651124908</v>
          </cell>
          <cell r="AA299">
            <v>9179.1015091696572</v>
          </cell>
          <cell r="AB299">
            <v>7683.0231795219343</v>
          </cell>
        </row>
        <row r="300"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</row>
        <row r="301">
          <cell r="Q301">
            <v>4000</v>
          </cell>
          <cell r="R301">
            <v>1000</v>
          </cell>
          <cell r="S301">
            <v>500</v>
          </cell>
          <cell r="T301">
            <v>2000</v>
          </cell>
          <cell r="U301">
            <v>1500</v>
          </cell>
          <cell r="V301">
            <v>1500</v>
          </cell>
          <cell r="W301">
            <v>2653.9658456591155</v>
          </cell>
          <cell r="X301">
            <v>2549.9379824809348</v>
          </cell>
          <cell r="Y301">
            <v>2654.7062574966826</v>
          </cell>
          <cell r="Z301">
            <v>2679.2778339788533</v>
          </cell>
          <cell r="AA301">
            <v>2609.1574653278149</v>
          </cell>
          <cell r="AB301">
            <v>2183.8975486991517</v>
          </cell>
        </row>
        <row r="302"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</row>
        <row r="303">
          <cell r="Q303">
            <v>34200</v>
          </cell>
          <cell r="R303">
            <v>37800</v>
          </cell>
          <cell r="S303">
            <v>45000</v>
          </cell>
          <cell r="T303">
            <v>38040</v>
          </cell>
          <cell r="U303">
            <v>43080</v>
          </cell>
          <cell r="V303">
            <v>40980</v>
          </cell>
          <cell r="W303">
            <v>39904.943440056835</v>
          </cell>
          <cell r="X303">
            <v>38340.783900059323</v>
          </cell>
          <cell r="Y303">
            <v>39916.076248170692</v>
          </cell>
          <cell r="Z303">
            <v>40285.533666531155</v>
          </cell>
          <cell r="AA303">
            <v>39231.206102522621</v>
          </cell>
          <cell r="AB303">
            <v>32837.011939042131</v>
          </cell>
        </row>
        <row r="304">
          <cell r="Q304">
            <v>400</v>
          </cell>
          <cell r="R304">
            <v>800</v>
          </cell>
          <cell r="S304">
            <v>1200</v>
          </cell>
          <cell r="T304">
            <v>836</v>
          </cell>
          <cell r="U304">
            <v>436</v>
          </cell>
          <cell r="V304">
            <v>200</v>
          </cell>
          <cell r="W304">
            <v>418.28242033060224</v>
          </cell>
          <cell r="X304">
            <v>401.88694694379848</v>
          </cell>
          <cell r="Y304">
            <v>418.39911409136238</v>
          </cell>
          <cell r="Z304">
            <v>422.27175567004417</v>
          </cell>
          <cell r="AA304">
            <v>411.22032576494445</v>
          </cell>
          <cell r="AB304">
            <v>344.19657431464992</v>
          </cell>
        </row>
        <row r="305">
          <cell r="Q305">
            <v>64800</v>
          </cell>
          <cell r="R305">
            <v>59400</v>
          </cell>
          <cell r="S305">
            <v>59400</v>
          </cell>
          <cell r="T305">
            <v>64279</v>
          </cell>
          <cell r="U305">
            <v>71055</v>
          </cell>
          <cell r="V305">
            <v>64315</v>
          </cell>
          <cell r="W305">
            <v>66973.393714486359</v>
          </cell>
          <cell r="X305">
            <v>64348.228417312501</v>
          </cell>
          <cell r="Y305">
            <v>66992.078165000057</v>
          </cell>
          <cell r="Z305">
            <v>67612.147134093117</v>
          </cell>
          <cell r="AA305">
            <v>65842.644687499036</v>
          </cell>
          <cell r="AB305">
            <v>55111.120062212169</v>
          </cell>
        </row>
        <row r="306"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</row>
        <row r="307"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</row>
        <row r="308"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</row>
        <row r="309"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</row>
        <row r="310"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828.16477126081361</v>
          </cell>
          <cell r="W310">
            <v>835.60767265129471</v>
          </cell>
          <cell r="X310">
            <v>802.85424412342354</v>
          </cell>
          <cell r="Y310">
            <v>835.84079313903749</v>
          </cell>
          <cell r="Z310">
            <v>843.57721441635829</v>
          </cell>
          <cell r="AA310">
            <v>821.49964391944286</v>
          </cell>
          <cell r="AB310">
            <v>687.60551344780185</v>
          </cell>
        </row>
        <row r="311"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</row>
        <row r="312">
          <cell r="Q312">
            <v>1123</v>
          </cell>
          <cell r="R312">
            <v>492</v>
          </cell>
          <cell r="S312">
            <v>783</v>
          </cell>
          <cell r="T312">
            <v>692</v>
          </cell>
          <cell r="U312">
            <v>1032</v>
          </cell>
          <cell r="V312">
            <v>912</v>
          </cell>
          <cell r="W312">
            <v>656.26919370364101</v>
          </cell>
          <cell r="X312">
            <v>724.4332005966329</v>
          </cell>
          <cell r="Y312">
            <v>797.02115409498765</v>
          </cell>
          <cell r="Z312">
            <v>873.18103835245256</v>
          </cell>
          <cell r="AA312">
            <v>810.97746791172733</v>
          </cell>
          <cell r="AB312">
            <v>691.97330854520021</v>
          </cell>
        </row>
        <row r="313">
          <cell r="Q313">
            <v>1957</v>
          </cell>
          <cell r="R313">
            <v>0</v>
          </cell>
          <cell r="S313">
            <v>0</v>
          </cell>
          <cell r="T313">
            <v>0</v>
          </cell>
        </row>
        <row r="314">
          <cell r="Q314">
            <v>1910</v>
          </cell>
          <cell r="R314">
            <v>0</v>
          </cell>
          <cell r="S314">
            <v>0</v>
          </cell>
          <cell r="T314">
            <v>0</v>
          </cell>
        </row>
        <row r="315">
          <cell r="Q315">
            <v>1958</v>
          </cell>
          <cell r="R315">
            <v>0</v>
          </cell>
          <cell r="S315">
            <v>0</v>
          </cell>
          <cell r="T315">
            <v>0</v>
          </cell>
        </row>
        <row r="316">
          <cell r="Q316">
            <v>1977</v>
          </cell>
          <cell r="R316">
            <v>0</v>
          </cell>
          <cell r="S316">
            <v>0</v>
          </cell>
          <cell r="T316">
            <v>0</v>
          </cell>
        </row>
        <row r="317">
          <cell r="Q317">
            <v>1954</v>
          </cell>
          <cell r="R317">
            <v>0</v>
          </cell>
          <cell r="S317">
            <v>0</v>
          </cell>
          <cell r="T317">
            <v>0</v>
          </cell>
        </row>
        <row r="318">
          <cell r="Q318">
            <v>4876</v>
          </cell>
          <cell r="R318">
            <v>0</v>
          </cell>
          <cell r="S318">
            <v>0</v>
          </cell>
          <cell r="T318">
            <v>0</v>
          </cell>
        </row>
        <row r="319">
          <cell r="Q319">
            <v>1954</v>
          </cell>
          <cell r="R319">
            <v>0</v>
          </cell>
          <cell r="S319">
            <v>0</v>
          </cell>
          <cell r="T319">
            <v>0</v>
          </cell>
        </row>
        <row r="320">
          <cell r="Q320">
            <v>1998</v>
          </cell>
          <cell r="R320">
            <v>0</v>
          </cell>
          <cell r="S320">
            <v>0</v>
          </cell>
          <cell r="T320">
            <v>0</v>
          </cell>
        </row>
        <row r="321">
          <cell r="Q321">
            <v>1930</v>
          </cell>
          <cell r="R321">
            <v>0</v>
          </cell>
          <cell r="S321">
            <v>0</v>
          </cell>
          <cell r="T321">
            <v>0</v>
          </cell>
        </row>
        <row r="322">
          <cell r="Q322">
            <v>2201</v>
          </cell>
          <cell r="R322">
            <v>0</v>
          </cell>
          <cell r="S322">
            <v>0</v>
          </cell>
          <cell r="T322">
            <v>0</v>
          </cell>
        </row>
        <row r="323">
          <cell r="Q323">
            <v>0</v>
          </cell>
          <cell r="R323">
            <v>0</v>
          </cell>
          <cell r="S323">
            <v>1500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Q324">
            <v>0</v>
          </cell>
          <cell r="R324">
            <v>0</v>
          </cell>
          <cell r="S324">
            <v>300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1BA5-CAB6-4047-8448-DA1A585CB4D0}">
  <dimension ref="A1:M268"/>
  <sheetViews>
    <sheetView zoomScale="85" zoomScaleNormal="85" workbookViewId="0">
      <pane ySplit="3" topLeftCell="A4" activePane="bottomLeft" state="frozen"/>
      <selection pane="bottomLeft" activeCell="N10" sqref="N10"/>
    </sheetView>
  </sheetViews>
  <sheetFormatPr defaultColWidth="9" defaultRowHeight="15" x14ac:dyDescent="0.25"/>
  <cols>
    <col min="1" max="1" width="8.125" style="59" bestFit="1" customWidth="1"/>
    <col min="2" max="2" width="19.375" style="59" bestFit="1" customWidth="1"/>
    <col min="3" max="3" width="25" style="59" bestFit="1" customWidth="1"/>
    <col min="4" max="4" width="29.625" style="59" bestFit="1" customWidth="1"/>
    <col min="5" max="5" width="28.25" style="59" bestFit="1" customWidth="1"/>
    <col min="6" max="6" width="22.125" style="59" bestFit="1" customWidth="1"/>
    <col min="7" max="7" width="20.75" style="59" customWidth="1"/>
    <col min="8" max="8" width="14.375" style="59" customWidth="1"/>
    <col min="9" max="9" width="19" style="59" customWidth="1"/>
    <col min="10" max="10" width="13.875" style="59" customWidth="1"/>
    <col min="11" max="11" width="18.125" style="59" bestFit="1" customWidth="1"/>
    <col min="12" max="12" width="19.375" style="59" bestFit="1" customWidth="1"/>
    <col min="13" max="13" width="43.375" style="59" bestFit="1" customWidth="1"/>
    <col min="14" max="16384" width="9" style="59"/>
  </cols>
  <sheetData>
    <row r="1" spans="1:13" ht="34.5" x14ac:dyDescent="0.25">
      <c r="A1" s="73" t="s">
        <v>483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3" ht="21.75" x14ac:dyDescent="0.25">
      <c r="A2" s="60" t="s">
        <v>484</v>
      </c>
      <c r="B2" s="60" t="s">
        <v>485</v>
      </c>
      <c r="C2" s="61" t="s">
        <v>486</v>
      </c>
      <c r="D2" s="61" t="s">
        <v>487</v>
      </c>
      <c r="E2" s="61" t="s">
        <v>488</v>
      </c>
      <c r="F2" s="61" t="s">
        <v>489</v>
      </c>
      <c r="G2" s="60" t="s">
        <v>490</v>
      </c>
      <c r="H2" s="60" t="s">
        <v>491</v>
      </c>
      <c r="I2" s="60" t="s">
        <v>492</v>
      </c>
      <c r="J2" s="60" t="s">
        <v>493</v>
      </c>
      <c r="K2" s="60" t="s">
        <v>494</v>
      </c>
      <c r="L2" s="61" t="s">
        <v>495</v>
      </c>
      <c r="M2" s="60" t="s">
        <v>496</v>
      </c>
    </row>
    <row r="3" spans="1:13" ht="21.75" x14ac:dyDescent="0.25">
      <c r="A3" s="60" t="s">
        <v>497</v>
      </c>
      <c r="B3" s="60" t="s">
        <v>498</v>
      </c>
      <c r="C3" s="61" t="s">
        <v>499</v>
      </c>
      <c r="D3" s="61" t="s">
        <v>500</v>
      </c>
      <c r="E3" s="61" t="s">
        <v>501</v>
      </c>
      <c r="F3" s="61" t="s">
        <v>502</v>
      </c>
      <c r="G3" s="60" t="s">
        <v>503</v>
      </c>
      <c r="H3" s="60" t="s">
        <v>504</v>
      </c>
      <c r="I3" s="60" t="s">
        <v>505</v>
      </c>
      <c r="J3" s="60" t="s">
        <v>506</v>
      </c>
      <c r="K3" s="60" t="s">
        <v>507</v>
      </c>
      <c r="L3" s="61" t="s">
        <v>508</v>
      </c>
      <c r="M3" s="60" t="s">
        <v>509</v>
      </c>
    </row>
    <row r="4" spans="1:13" ht="24" x14ac:dyDescent="0.55000000000000004">
      <c r="A4" s="62" t="s">
        <v>510</v>
      </c>
      <c r="B4" s="62" t="s">
        <v>511</v>
      </c>
      <c r="C4" s="62" t="s">
        <v>512</v>
      </c>
      <c r="D4" s="63" t="s">
        <v>513</v>
      </c>
      <c r="E4" s="63" t="s">
        <v>514</v>
      </c>
      <c r="F4" s="62" t="s">
        <v>515</v>
      </c>
      <c r="G4" s="62" t="s">
        <v>516</v>
      </c>
      <c r="H4" s="62"/>
      <c r="I4" s="62"/>
      <c r="J4" s="62"/>
      <c r="K4" s="62"/>
      <c r="L4" s="62" t="s">
        <v>517</v>
      </c>
      <c r="M4" s="62" t="s">
        <v>518</v>
      </c>
    </row>
    <row r="5" spans="1:13" ht="24" x14ac:dyDescent="0.55000000000000004">
      <c r="A5" s="62" t="s">
        <v>519</v>
      </c>
      <c r="B5" s="62" t="s">
        <v>520</v>
      </c>
      <c r="C5" s="62" t="s">
        <v>521</v>
      </c>
      <c r="D5" s="63" t="s">
        <v>522</v>
      </c>
      <c r="E5" s="63" t="s">
        <v>523</v>
      </c>
      <c r="F5" s="62" t="s">
        <v>524</v>
      </c>
      <c r="G5" s="62" t="s">
        <v>525</v>
      </c>
      <c r="H5" s="62" t="s">
        <v>526</v>
      </c>
      <c r="I5" s="62" t="s">
        <v>527</v>
      </c>
      <c r="J5" s="62"/>
      <c r="K5" s="62"/>
      <c r="L5" s="62" t="s">
        <v>528</v>
      </c>
      <c r="M5" s="62" t="s">
        <v>529</v>
      </c>
    </row>
    <row r="6" spans="1:13" ht="24" x14ac:dyDescent="0.55000000000000004">
      <c r="A6" s="62" t="s">
        <v>530</v>
      </c>
      <c r="B6" s="62" t="s">
        <v>531</v>
      </c>
      <c r="C6" s="62" t="s">
        <v>521</v>
      </c>
      <c r="D6" s="63" t="s">
        <v>532</v>
      </c>
      <c r="E6" s="63" t="s">
        <v>533</v>
      </c>
      <c r="F6" s="62" t="s">
        <v>524</v>
      </c>
      <c r="G6" s="62" t="s">
        <v>525</v>
      </c>
      <c r="H6" s="62" t="s">
        <v>526</v>
      </c>
      <c r="I6" s="62" t="s">
        <v>527</v>
      </c>
      <c r="J6" s="62"/>
      <c r="K6" s="62"/>
      <c r="L6" s="62" t="s">
        <v>534</v>
      </c>
      <c r="M6" s="62" t="s">
        <v>535</v>
      </c>
    </row>
    <row r="7" spans="1:13" ht="24" x14ac:dyDescent="0.55000000000000004">
      <c r="A7" s="62" t="s">
        <v>536</v>
      </c>
      <c r="B7" s="62" t="s">
        <v>537</v>
      </c>
      <c r="C7" s="62" t="s">
        <v>521</v>
      </c>
      <c r="D7" s="63" t="s">
        <v>538</v>
      </c>
      <c r="E7" s="63" t="s">
        <v>539</v>
      </c>
      <c r="F7" s="62" t="s">
        <v>540</v>
      </c>
      <c r="G7" s="62" t="s">
        <v>541</v>
      </c>
      <c r="H7" s="62" t="s">
        <v>542</v>
      </c>
      <c r="I7" s="62" t="s">
        <v>543</v>
      </c>
      <c r="J7" s="62"/>
      <c r="K7" s="62"/>
      <c r="L7" s="62" t="s">
        <v>528</v>
      </c>
      <c r="M7" s="62" t="s">
        <v>529</v>
      </c>
    </row>
    <row r="8" spans="1:13" ht="24" x14ac:dyDescent="0.55000000000000004">
      <c r="A8" s="62" t="s">
        <v>544</v>
      </c>
      <c r="B8" s="62" t="s">
        <v>545</v>
      </c>
      <c r="C8" s="62" t="s">
        <v>521</v>
      </c>
      <c r="D8" s="63" t="s">
        <v>546</v>
      </c>
      <c r="E8" s="63" t="s">
        <v>547</v>
      </c>
      <c r="F8" s="62" t="s">
        <v>540</v>
      </c>
      <c r="G8" s="62" t="s">
        <v>541</v>
      </c>
      <c r="H8" s="62" t="s">
        <v>542</v>
      </c>
      <c r="I8" s="62" t="s">
        <v>543</v>
      </c>
      <c r="J8" s="62"/>
      <c r="K8" s="62"/>
      <c r="L8" s="62" t="s">
        <v>534</v>
      </c>
      <c r="M8" s="62" t="s">
        <v>535</v>
      </c>
    </row>
    <row r="9" spans="1:13" ht="24" x14ac:dyDescent="0.55000000000000004">
      <c r="A9" s="62" t="s">
        <v>548</v>
      </c>
      <c r="B9" s="62" t="s">
        <v>549</v>
      </c>
      <c r="C9" s="62" t="s">
        <v>512</v>
      </c>
      <c r="D9" s="63" t="s">
        <v>550</v>
      </c>
      <c r="E9" s="63" t="s">
        <v>551</v>
      </c>
      <c r="F9" s="62" t="s">
        <v>540</v>
      </c>
      <c r="G9" s="62" t="s">
        <v>541</v>
      </c>
      <c r="H9" s="62" t="s">
        <v>542</v>
      </c>
      <c r="I9" s="62" t="s">
        <v>543</v>
      </c>
      <c r="J9" s="62"/>
      <c r="K9" s="62"/>
      <c r="L9" s="62" t="s">
        <v>534</v>
      </c>
      <c r="M9" s="62" t="s">
        <v>535</v>
      </c>
    </row>
    <row r="10" spans="1:13" ht="24" x14ac:dyDescent="0.55000000000000004">
      <c r="A10" s="62" t="s">
        <v>552</v>
      </c>
      <c r="B10" s="62" t="s">
        <v>553</v>
      </c>
      <c r="C10" s="62" t="s">
        <v>521</v>
      </c>
      <c r="D10" s="63" t="s">
        <v>554</v>
      </c>
      <c r="E10" s="63" t="s">
        <v>555</v>
      </c>
      <c r="F10" s="62" t="s">
        <v>540</v>
      </c>
      <c r="G10" s="62" t="s">
        <v>541</v>
      </c>
      <c r="H10" s="62" t="s">
        <v>556</v>
      </c>
      <c r="I10" s="62" t="s">
        <v>557</v>
      </c>
      <c r="J10" s="62"/>
      <c r="K10" s="62"/>
      <c r="L10" s="62" t="s">
        <v>558</v>
      </c>
      <c r="M10" s="62" t="s">
        <v>559</v>
      </c>
    </row>
    <row r="11" spans="1:13" ht="24" x14ac:dyDescent="0.55000000000000004">
      <c r="A11" s="62" t="s">
        <v>560</v>
      </c>
      <c r="B11" s="62" t="s">
        <v>561</v>
      </c>
      <c r="C11" s="62" t="s">
        <v>521</v>
      </c>
      <c r="D11" s="63" t="s">
        <v>562</v>
      </c>
      <c r="E11" s="63" t="s">
        <v>563</v>
      </c>
      <c r="F11" s="62" t="s">
        <v>540</v>
      </c>
      <c r="G11" s="62" t="s">
        <v>541</v>
      </c>
      <c r="H11" s="62" t="s">
        <v>556</v>
      </c>
      <c r="I11" s="62" t="s">
        <v>557</v>
      </c>
      <c r="J11" s="62"/>
      <c r="K11" s="62"/>
      <c r="L11" s="62" t="s">
        <v>528</v>
      </c>
      <c r="M11" s="62" t="s">
        <v>529</v>
      </c>
    </row>
    <row r="12" spans="1:13" ht="24" x14ac:dyDescent="0.55000000000000004">
      <c r="A12" s="62" t="s">
        <v>564</v>
      </c>
      <c r="B12" s="62" t="s">
        <v>565</v>
      </c>
      <c r="C12" s="62" t="s">
        <v>512</v>
      </c>
      <c r="D12" s="63" t="s">
        <v>566</v>
      </c>
      <c r="E12" s="63" t="s">
        <v>567</v>
      </c>
      <c r="F12" s="62" t="s">
        <v>540</v>
      </c>
      <c r="G12" s="62" t="s">
        <v>541</v>
      </c>
      <c r="H12" s="62" t="s">
        <v>556</v>
      </c>
      <c r="I12" s="62" t="s">
        <v>557</v>
      </c>
      <c r="J12" s="62"/>
      <c r="K12" s="62"/>
      <c r="L12" s="62" t="s">
        <v>528</v>
      </c>
      <c r="M12" s="62" t="s">
        <v>529</v>
      </c>
    </row>
    <row r="13" spans="1:13" ht="24" x14ac:dyDescent="0.55000000000000004">
      <c r="A13" s="62" t="s">
        <v>517</v>
      </c>
      <c r="B13" s="62" t="s">
        <v>568</v>
      </c>
      <c r="C13" s="62" t="s">
        <v>512</v>
      </c>
      <c r="D13" s="63" t="s">
        <v>569</v>
      </c>
      <c r="E13" s="63" t="s">
        <v>570</v>
      </c>
      <c r="F13" s="62" t="s">
        <v>540</v>
      </c>
      <c r="G13" s="62" t="s">
        <v>541</v>
      </c>
      <c r="H13" s="62" t="s">
        <v>556</v>
      </c>
      <c r="I13" s="62" t="s">
        <v>557</v>
      </c>
      <c r="J13" s="62" t="s">
        <v>571</v>
      </c>
      <c r="K13" s="62" t="s">
        <v>572</v>
      </c>
      <c r="L13" s="62" t="s">
        <v>482</v>
      </c>
      <c r="M13" s="62" t="s">
        <v>573</v>
      </c>
    </row>
    <row r="14" spans="1:13" ht="24" x14ac:dyDescent="0.55000000000000004">
      <c r="A14" s="62" t="s">
        <v>574</v>
      </c>
      <c r="B14" s="62" t="s">
        <v>575</v>
      </c>
      <c r="C14" s="62" t="s">
        <v>512</v>
      </c>
      <c r="D14" s="63" t="s">
        <v>576</v>
      </c>
      <c r="E14" s="63" t="s">
        <v>577</v>
      </c>
      <c r="F14" s="62" t="s">
        <v>540</v>
      </c>
      <c r="G14" s="62" t="s">
        <v>541</v>
      </c>
      <c r="H14" s="62" t="s">
        <v>556</v>
      </c>
      <c r="I14" s="62" t="s">
        <v>557</v>
      </c>
      <c r="J14" s="62" t="s">
        <v>571</v>
      </c>
      <c r="K14" s="62" t="s">
        <v>572</v>
      </c>
      <c r="L14" s="62" t="s">
        <v>482</v>
      </c>
      <c r="M14" s="62" t="s">
        <v>573</v>
      </c>
    </row>
    <row r="15" spans="1:13" ht="24" x14ac:dyDescent="0.55000000000000004">
      <c r="A15" s="62" t="s">
        <v>578</v>
      </c>
      <c r="B15" s="62" t="s">
        <v>579</v>
      </c>
      <c r="C15" s="62" t="s">
        <v>512</v>
      </c>
      <c r="D15" s="63" t="s">
        <v>580</v>
      </c>
      <c r="E15" s="63" t="s">
        <v>581</v>
      </c>
      <c r="F15" s="62" t="s">
        <v>540</v>
      </c>
      <c r="G15" s="62" t="s">
        <v>541</v>
      </c>
      <c r="H15" s="62" t="s">
        <v>556</v>
      </c>
      <c r="I15" s="62" t="s">
        <v>557</v>
      </c>
      <c r="J15" s="62" t="s">
        <v>571</v>
      </c>
      <c r="K15" s="62" t="s">
        <v>572</v>
      </c>
      <c r="L15" s="62" t="s">
        <v>482</v>
      </c>
      <c r="M15" s="62" t="s">
        <v>573</v>
      </c>
    </row>
    <row r="16" spans="1:13" ht="24" x14ac:dyDescent="0.55000000000000004">
      <c r="A16" s="62" t="s">
        <v>582</v>
      </c>
      <c r="B16" s="62" t="s">
        <v>583</v>
      </c>
      <c r="C16" s="62" t="s">
        <v>512</v>
      </c>
      <c r="D16" s="63" t="s">
        <v>584</v>
      </c>
      <c r="E16" s="63" t="s">
        <v>585</v>
      </c>
      <c r="F16" s="62" t="s">
        <v>540</v>
      </c>
      <c r="G16" s="62" t="s">
        <v>541</v>
      </c>
      <c r="H16" s="62" t="s">
        <v>556</v>
      </c>
      <c r="I16" s="62" t="s">
        <v>557</v>
      </c>
      <c r="J16" s="62" t="s">
        <v>571</v>
      </c>
      <c r="K16" s="62" t="s">
        <v>572</v>
      </c>
      <c r="L16" s="62" t="s">
        <v>482</v>
      </c>
      <c r="M16" s="62" t="s">
        <v>573</v>
      </c>
    </row>
    <row r="17" spans="1:13" ht="24" x14ac:dyDescent="0.55000000000000004">
      <c r="A17" s="62" t="s">
        <v>586</v>
      </c>
      <c r="B17" s="62" t="s">
        <v>587</v>
      </c>
      <c r="C17" s="62" t="s">
        <v>512</v>
      </c>
      <c r="D17" s="63" t="s">
        <v>588</v>
      </c>
      <c r="E17" s="63" t="s">
        <v>589</v>
      </c>
      <c r="F17" s="62" t="s">
        <v>540</v>
      </c>
      <c r="G17" s="62" t="s">
        <v>541</v>
      </c>
      <c r="H17" s="62" t="s">
        <v>556</v>
      </c>
      <c r="I17" s="62" t="s">
        <v>557</v>
      </c>
      <c r="J17" s="62" t="s">
        <v>571</v>
      </c>
      <c r="K17" s="62" t="s">
        <v>572</v>
      </c>
      <c r="L17" s="62" t="s">
        <v>482</v>
      </c>
      <c r="M17" s="62" t="s">
        <v>573</v>
      </c>
    </row>
    <row r="18" spans="1:13" ht="24" x14ac:dyDescent="0.55000000000000004">
      <c r="A18" s="62" t="s">
        <v>590</v>
      </c>
      <c r="B18" s="62" t="s">
        <v>591</v>
      </c>
      <c r="C18" s="62" t="s">
        <v>512</v>
      </c>
      <c r="D18" s="63" t="s">
        <v>592</v>
      </c>
      <c r="E18" s="63" t="s">
        <v>593</v>
      </c>
      <c r="F18" s="62" t="s">
        <v>540</v>
      </c>
      <c r="G18" s="62" t="s">
        <v>541</v>
      </c>
      <c r="H18" s="62" t="s">
        <v>556</v>
      </c>
      <c r="I18" s="62" t="s">
        <v>557</v>
      </c>
      <c r="J18" s="62" t="s">
        <v>594</v>
      </c>
      <c r="K18" s="62" t="s">
        <v>595</v>
      </c>
      <c r="L18" s="62" t="s">
        <v>482</v>
      </c>
      <c r="M18" s="62" t="s">
        <v>573</v>
      </c>
    </row>
    <row r="19" spans="1:13" ht="24" x14ac:dyDescent="0.55000000000000004">
      <c r="A19" s="62" t="s">
        <v>596</v>
      </c>
      <c r="B19" s="62" t="s">
        <v>597</v>
      </c>
      <c r="C19" s="62" t="s">
        <v>512</v>
      </c>
      <c r="D19" s="63" t="s">
        <v>598</v>
      </c>
      <c r="E19" s="63" t="s">
        <v>599</v>
      </c>
      <c r="F19" s="62" t="s">
        <v>540</v>
      </c>
      <c r="G19" s="62" t="s">
        <v>541</v>
      </c>
      <c r="H19" s="62" t="s">
        <v>556</v>
      </c>
      <c r="I19" s="62" t="s">
        <v>557</v>
      </c>
      <c r="J19" s="62" t="s">
        <v>594</v>
      </c>
      <c r="K19" s="62" t="s">
        <v>595</v>
      </c>
      <c r="L19" s="62" t="s">
        <v>482</v>
      </c>
      <c r="M19" s="62" t="s">
        <v>573</v>
      </c>
    </row>
    <row r="20" spans="1:13" ht="24" x14ac:dyDescent="0.55000000000000004">
      <c r="A20" s="62" t="s">
        <v>600</v>
      </c>
      <c r="B20" s="62" t="s">
        <v>601</v>
      </c>
      <c r="C20" s="62" t="s">
        <v>521</v>
      </c>
      <c r="D20" s="63" t="s">
        <v>602</v>
      </c>
      <c r="E20" s="63" t="s">
        <v>603</v>
      </c>
      <c r="F20" s="62" t="s">
        <v>540</v>
      </c>
      <c r="G20" s="62" t="s">
        <v>541</v>
      </c>
      <c r="H20" s="62" t="s">
        <v>556</v>
      </c>
      <c r="I20" s="62" t="s">
        <v>557</v>
      </c>
      <c r="J20" s="62" t="s">
        <v>594</v>
      </c>
      <c r="K20" s="62" t="s">
        <v>595</v>
      </c>
      <c r="L20" s="62" t="s">
        <v>482</v>
      </c>
      <c r="M20" s="62" t="s">
        <v>573</v>
      </c>
    </row>
    <row r="21" spans="1:13" ht="24" x14ac:dyDescent="0.55000000000000004">
      <c r="A21" s="62" t="s">
        <v>604</v>
      </c>
      <c r="B21" s="62" t="s">
        <v>605</v>
      </c>
      <c r="C21" s="62" t="s">
        <v>521</v>
      </c>
      <c r="D21" s="63" t="s">
        <v>606</v>
      </c>
      <c r="E21" s="63" t="s">
        <v>607</v>
      </c>
      <c r="F21" s="62" t="s">
        <v>540</v>
      </c>
      <c r="G21" s="62" t="s">
        <v>541</v>
      </c>
      <c r="H21" s="62" t="s">
        <v>556</v>
      </c>
      <c r="I21" s="62" t="s">
        <v>557</v>
      </c>
      <c r="J21" s="62" t="s">
        <v>594</v>
      </c>
      <c r="K21" s="62" t="s">
        <v>595</v>
      </c>
      <c r="L21" s="62" t="s">
        <v>482</v>
      </c>
      <c r="M21" s="62" t="s">
        <v>573</v>
      </c>
    </row>
    <row r="22" spans="1:13" ht="24" x14ac:dyDescent="0.55000000000000004">
      <c r="A22" s="62" t="s">
        <v>608</v>
      </c>
      <c r="B22" s="62" t="s">
        <v>609</v>
      </c>
      <c r="C22" s="62" t="s">
        <v>521</v>
      </c>
      <c r="D22" s="63" t="s">
        <v>610</v>
      </c>
      <c r="E22" s="63" t="s">
        <v>611</v>
      </c>
      <c r="F22" s="62" t="s">
        <v>540</v>
      </c>
      <c r="G22" s="62" t="s">
        <v>541</v>
      </c>
      <c r="H22" s="62" t="s">
        <v>556</v>
      </c>
      <c r="I22" s="62" t="s">
        <v>557</v>
      </c>
      <c r="J22" s="62" t="s">
        <v>594</v>
      </c>
      <c r="K22" s="62" t="s">
        <v>595</v>
      </c>
      <c r="L22" s="62" t="s">
        <v>482</v>
      </c>
      <c r="M22" s="62" t="s">
        <v>573</v>
      </c>
    </row>
    <row r="23" spans="1:13" ht="24" x14ac:dyDescent="0.55000000000000004">
      <c r="A23" s="62" t="s">
        <v>612</v>
      </c>
      <c r="B23" s="62" t="s">
        <v>613</v>
      </c>
      <c r="C23" s="62" t="s">
        <v>521</v>
      </c>
      <c r="D23" s="63" t="s">
        <v>614</v>
      </c>
      <c r="E23" s="63" t="s">
        <v>615</v>
      </c>
      <c r="F23" s="62" t="s">
        <v>540</v>
      </c>
      <c r="G23" s="62" t="s">
        <v>541</v>
      </c>
      <c r="H23" s="62" t="s">
        <v>556</v>
      </c>
      <c r="I23" s="62" t="s">
        <v>557</v>
      </c>
      <c r="J23" s="62" t="s">
        <v>594</v>
      </c>
      <c r="K23" s="62" t="s">
        <v>595</v>
      </c>
      <c r="L23" s="62" t="s">
        <v>534</v>
      </c>
      <c r="M23" s="62" t="s">
        <v>535</v>
      </c>
    </row>
    <row r="24" spans="1:13" ht="24" x14ac:dyDescent="0.55000000000000004">
      <c r="A24" s="62" t="s">
        <v>616</v>
      </c>
      <c r="B24" s="62" t="s">
        <v>617</v>
      </c>
      <c r="C24" s="62" t="s">
        <v>521</v>
      </c>
      <c r="D24" s="63" t="s">
        <v>618</v>
      </c>
      <c r="E24" s="63" t="s">
        <v>619</v>
      </c>
      <c r="F24" s="62" t="s">
        <v>540</v>
      </c>
      <c r="G24" s="62" t="s">
        <v>541</v>
      </c>
      <c r="H24" s="62" t="s">
        <v>556</v>
      </c>
      <c r="I24" s="62" t="s">
        <v>557</v>
      </c>
      <c r="J24" s="62" t="s">
        <v>594</v>
      </c>
      <c r="K24" s="62" t="s">
        <v>595</v>
      </c>
      <c r="L24" s="62" t="s">
        <v>534</v>
      </c>
      <c r="M24" s="62" t="s">
        <v>535</v>
      </c>
    </row>
    <row r="25" spans="1:13" ht="24" x14ac:dyDescent="0.55000000000000004">
      <c r="A25" s="62" t="s">
        <v>620</v>
      </c>
      <c r="B25" s="62" t="s">
        <v>621</v>
      </c>
      <c r="C25" s="62" t="s">
        <v>512</v>
      </c>
      <c r="D25" s="63" t="s">
        <v>622</v>
      </c>
      <c r="E25" s="63" t="s">
        <v>623</v>
      </c>
      <c r="F25" s="62" t="s">
        <v>540</v>
      </c>
      <c r="G25" s="62" t="s">
        <v>541</v>
      </c>
      <c r="H25" s="62" t="s">
        <v>556</v>
      </c>
      <c r="I25" s="62" t="s">
        <v>557</v>
      </c>
      <c r="J25" s="62" t="s">
        <v>594</v>
      </c>
      <c r="K25" s="62" t="s">
        <v>595</v>
      </c>
      <c r="L25" s="62" t="s">
        <v>482</v>
      </c>
      <c r="M25" s="62" t="s">
        <v>573</v>
      </c>
    </row>
    <row r="26" spans="1:13" ht="24" x14ac:dyDescent="0.55000000000000004">
      <c r="A26" s="62" t="s">
        <v>624</v>
      </c>
      <c r="B26" s="62" t="s">
        <v>625</v>
      </c>
      <c r="C26" s="62" t="s">
        <v>521</v>
      </c>
      <c r="D26" s="63" t="s">
        <v>626</v>
      </c>
      <c r="E26" s="63" t="s">
        <v>627</v>
      </c>
      <c r="F26" s="62" t="s">
        <v>540</v>
      </c>
      <c r="G26" s="62" t="s">
        <v>541</v>
      </c>
      <c r="H26" s="62" t="s">
        <v>556</v>
      </c>
      <c r="I26" s="62" t="s">
        <v>557</v>
      </c>
      <c r="J26" s="62" t="s">
        <v>594</v>
      </c>
      <c r="K26" s="62" t="s">
        <v>595</v>
      </c>
      <c r="L26" s="62" t="s">
        <v>482</v>
      </c>
      <c r="M26" s="62" t="s">
        <v>573</v>
      </c>
    </row>
    <row r="27" spans="1:13" ht="24" x14ac:dyDescent="0.55000000000000004">
      <c r="A27" s="62" t="s">
        <v>628</v>
      </c>
      <c r="B27" s="62" t="s">
        <v>629</v>
      </c>
      <c r="C27" s="62" t="s">
        <v>512</v>
      </c>
      <c r="D27" s="63" t="s">
        <v>630</v>
      </c>
      <c r="E27" s="63" t="s">
        <v>80</v>
      </c>
      <c r="F27" s="62" t="s">
        <v>540</v>
      </c>
      <c r="G27" s="62" t="s">
        <v>541</v>
      </c>
      <c r="H27" s="62" t="s">
        <v>556</v>
      </c>
      <c r="I27" s="62" t="s">
        <v>557</v>
      </c>
      <c r="J27" s="62" t="s">
        <v>594</v>
      </c>
      <c r="K27" s="62" t="s">
        <v>595</v>
      </c>
      <c r="L27" s="62" t="s">
        <v>482</v>
      </c>
      <c r="M27" s="62" t="s">
        <v>573</v>
      </c>
    </row>
    <row r="28" spans="1:13" ht="24" x14ac:dyDescent="0.55000000000000004">
      <c r="A28" s="62" t="s">
        <v>631</v>
      </c>
      <c r="B28" s="62" t="s">
        <v>632</v>
      </c>
      <c r="C28" s="62" t="s">
        <v>512</v>
      </c>
      <c r="D28" s="63" t="s">
        <v>633</v>
      </c>
      <c r="E28" s="63" t="s">
        <v>80</v>
      </c>
      <c r="F28" s="62" t="s">
        <v>540</v>
      </c>
      <c r="G28" s="62" t="s">
        <v>541</v>
      </c>
      <c r="H28" s="62" t="s">
        <v>556</v>
      </c>
      <c r="I28" s="62" t="s">
        <v>557</v>
      </c>
      <c r="J28" s="62" t="s">
        <v>594</v>
      </c>
      <c r="K28" s="62" t="s">
        <v>595</v>
      </c>
      <c r="L28" s="62" t="s">
        <v>482</v>
      </c>
      <c r="M28" s="62" t="s">
        <v>573</v>
      </c>
    </row>
    <row r="29" spans="1:13" ht="24" x14ac:dyDescent="0.55000000000000004">
      <c r="A29" s="62" t="s">
        <v>634</v>
      </c>
      <c r="B29" s="62" t="s">
        <v>635</v>
      </c>
      <c r="C29" s="62" t="s">
        <v>512</v>
      </c>
      <c r="D29" s="63" t="s">
        <v>636</v>
      </c>
      <c r="E29" s="63" t="s">
        <v>637</v>
      </c>
      <c r="F29" s="62" t="s">
        <v>638</v>
      </c>
      <c r="G29" s="62" t="s">
        <v>639</v>
      </c>
      <c r="H29" s="62" t="s">
        <v>640</v>
      </c>
      <c r="I29" s="62" t="s">
        <v>641</v>
      </c>
      <c r="J29" s="62"/>
      <c r="K29" s="62"/>
      <c r="L29" s="62" t="s">
        <v>642</v>
      </c>
      <c r="M29" s="62" t="s">
        <v>643</v>
      </c>
    </row>
    <row r="30" spans="1:13" ht="24" x14ac:dyDescent="0.55000000000000004">
      <c r="A30" s="62" t="s">
        <v>644</v>
      </c>
      <c r="B30" s="62" t="s">
        <v>645</v>
      </c>
      <c r="C30" s="62" t="s">
        <v>512</v>
      </c>
      <c r="D30" s="63" t="s">
        <v>646</v>
      </c>
      <c r="E30" s="63" t="s">
        <v>647</v>
      </c>
      <c r="F30" s="62" t="s">
        <v>638</v>
      </c>
      <c r="G30" s="62" t="s">
        <v>639</v>
      </c>
      <c r="H30" s="62" t="s">
        <v>640</v>
      </c>
      <c r="I30" s="62" t="s">
        <v>641</v>
      </c>
      <c r="J30" s="62"/>
      <c r="K30" s="62"/>
      <c r="L30" s="62" t="s">
        <v>558</v>
      </c>
      <c r="M30" s="62" t="s">
        <v>559</v>
      </c>
    </row>
    <row r="31" spans="1:13" ht="24" x14ac:dyDescent="0.55000000000000004">
      <c r="A31" s="62" t="s">
        <v>648</v>
      </c>
      <c r="B31" s="62" t="s">
        <v>649</v>
      </c>
      <c r="C31" s="62" t="s">
        <v>512</v>
      </c>
      <c r="D31" s="63" t="s">
        <v>650</v>
      </c>
      <c r="E31" s="63" t="s">
        <v>651</v>
      </c>
      <c r="F31" s="62" t="s">
        <v>638</v>
      </c>
      <c r="G31" s="62" t="s">
        <v>639</v>
      </c>
      <c r="H31" s="62" t="s">
        <v>640</v>
      </c>
      <c r="I31" s="62" t="s">
        <v>641</v>
      </c>
      <c r="J31" s="62"/>
      <c r="K31" s="62"/>
      <c r="L31" s="62" t="s">
        <v>642</v>
      </c>
      <c r="M31" s="62" t="s">
        <v>643</v>
      </c>
    </row>
    <row r="32" spans="1:13" ht="24" x14ac:dyDescent="0.55000000000000004">
      <c r="A32" s="62" t="s">
        <v>652</v>
      </c>
      <c r="B32" s="62" t="s">
        <v>653</v>
      </c>
      <c r="C32" s="62" t="s">
        <v>512</v>
      </c>
      <c r="D32" s="63" t="s">
        <v>654</v>
      </c>
      <c r="E32" s="63" t="s">
        <v>80</v>
      </c>
      <c r="F32" s="62" t="s">
        <v>638</v>
      </c>
      <c r="G32" s="62" t="s">
        <v>639</v>
      </c>
      <c r="H32" s="62" t="s">
        <v>640</v>
      </c>
      <c r="I32" s="62" t="s">
        <v>641</v>
      </c>
      <c r="J32" s="62"/>
      <c r="K32" s="62"/>
      <c r="L32" s="62" t="s">
        <v>482</v>
      </c>
      <c r="M32" s="62" t="s">
        <v>573</v>
      </c>
    </row>
    <row r="33" spans="1:13" ht="24" x14ac:dyDescent="0.55000000000000004">
      <c r="A33" s="62" t="s">
        <v>655</v>
      </c>
      <c r="B33" s="62" t="s">
        <v>656</v>
      </c>
      <c r="C33" s="62" t="s">
        <v>512</v>
      </c>
      <c r="D33" s="63" t="s">
        <v>657</v>
      </c>
      <c r="E33" s="63" t="s">
        <v>80</v>
      </c>
      <c r="F33" s="62" t="s">
        <v>638</v>
      </c>
      <c r="G33" s="62" t="s">
        <v>639</v>
      </c>
      <c r="H33" s="62" t="s">
        <v>640</v>
      </c>
      <c r="I33" s="62" t="s">
        <v>641</v>
      </c>
      <c r="J33" s="62"/>
      <c r="K33" s="62"/>
      <c r="L33" s="62" t="s">
        <v>482</v>
      </c>
      <c r="M33" s="62" t="s">
        <v>573</v>
      </c>
    </row>
    <row r="34" spans="1:13" ht="24" x14ac:dyDescent="0.55000000000000004">
      <c r="A34" s="62" t="s">
        <v>658</v>
      </c>
      <c r="B34" s="62" t="s">
        <v>659</v>
      </c>
      <c r="C34" s="62" t="s">
        <v>512</v>
      </c>
      <c r="D34" s="63" t="s">
        <v>660</v>
      </c>
      <c r="E34" s="63" t="s">
        <v>80</v>
      </c>
      <c r="F34" s="62" t="s">
        <v>638</v>
      </c>
      <c r="G34" s="62" t="s">
        <v>639</v>
      </c>
      <c r="H34" s="62" t="s">
        <v>640</v>
      </c>
      <c r="I34" s="62" t="s">
        <v>641</v>
      </c>
      <c r="J34" s="62"/>
      <c r="K34" s="62"/>
      <c r="L34" s="62" t="s">
        <v>482</v>
      </c>
      <c r="M34" s="62" t="s">
        <v>573</v>
      </c>
    </row>
    <row r="35" spans="1:13" ht="24" x14ac:dyDescent="0.55000000000000004">
      <c r="A35" s="62" t="s">
        <v>661</v>
      </c>
      <c r="B35" s="62" t="s">
        <v>662</v>
      </c>
      <c r="C35" s="62" t="s">
        <v>512</v>
      </c>
      <c r="D35" s="63" t="s">
        <v>663</v>
      </c>
      <c r="E35" s="63" t="s">
        <v>664</v>
      </c>
      <c r="F35" s="62" t="s">
        <v>638</v>
      </c>
      <c r="G35" s="62" t="s">
        <v>639</v>
      </c>
      <c r="H35" s="62" t="s">
        <v>665</v>
      </c>
      <c r="I35" s="62" t="s">
        <v>666</v>
      </c>
      <c r="J35" s="62"/>
      <c r="K35" s="62"/>
      <c r="L35" s="62" t="s">
        <v>642</v>
      </c>
      <c r="M35" s="62" t="s">
        <v>643</v>
      </c>
    </row>
    <row r="36" spans="1:13" ht="24" x14ac:dyDescent="0.55000000000000004">
      <c r="A36" s="62" t="s">
        <v>667</v>
      </c>
      <c r="B36" s="62" t="s">
        <v>668</v>
      </c>
      <c r="C36" s="62" t="s">
        <v>521</v>
      </c>
      <c r="D36" s="63" t="s">
        <v>669</v>
      </c>
      <c r="E36" s="63" t="s">
        <v>670</v>
      </c>
      <c r="F36" s="62" t="s">
        <v>638</v>
      </c>
      <c r="G36" s="62" t="s">
        <v>639</v>
      </c>
      <c r="H36" s="62" t="s">
        <v>665</v>
      </c>
      <c r="I36" s="62" t="s">
        <v>666</v>
      </c>
      <c r="J36" s="62"/>
      <c r="K36" s="62"/>
      <c r="L36" s="62" t="s">
        <v>482</v>
      </c>
      <c r="M36" s="62" t="s">
        <v>573</v>
      </c>
    </row>
    <row r="37" spans="1:13" ht="24" x14ac:dyDescent="0.55000000000000004">
      <c r="A37" s="62" t="s">
        <v>671</v>
      </c>
      <c r="B37" s="62" t="s">
        <v>672</v>
      </c>
      <c r="C37" s="62" t="s">
        <v>521</v>
      </c>
      <c r="D37" s="63" t="s">
        <v>673</v>
      </c>
      <c r="E37" s="63" t="s">
        <v>674</v>
      </c>
      <c r="F37" s="62" t="s">
        <v>638</v>
      </c>
      <c r="G37" s="62" t="s">
        <v>639</v>
      </c>
      <c r="H37" s="62" t="s">
        <v>665</v>
      </c>
      <c r="I37" s="62" t="s">
        <v>666</v>
      </c>
      <c r="J37" s="62"/>
      <c r="K37" s="62"/>
      <c r="L37" s="62" t="s">
        <v>482</v>
      </c>
      <c r="M37" s="62" t="s">
        <v>573</v>
      </c>
    </row>
    <row r="38" spans="1:13" ht="24" x14ac:dyDescent="0.55000000000000004">
      <c r="A38" s="62" t="s">
        <v>675</v>
      </c>
      <c r="B38" s="62" t="s">
        <v>676</v>
      </c>
      <c r="C38" s="62" t="s">
        <v>512</v>
      </c>
      <c r="D38" s="63" t="s">
        <v>677</v>
      </c>
      <c r="E38" s="63" t="s">
        <v>678</v>
      </c>
      <c r="F38" s="62" t="s">
        <v>638</v>
      </c>
      <c r="G38" s="62" t="s">
        <v>639</v>
      </c>
      <c r="H38" s="62" t="s">
        <v>665</v>
      </c>
      <c r="I38" s="62" t="s">
        <v>666</v>
      </c>
      <c r="J38" s="62"/>
      <c r="K38" s="62"/>
      <c r="L38" s="62" t="s">
        <v>528</v>
      </c>
      <c r="M38" s="62" t="s">
        <v>529</v>
      </c>
    </row>
    <row r="39" spans="1:13" ht="24" x14ac:dyDescent="0.55000000000000004">
      <c r="A39" s="62" t="s">
        <v>679</v>
      </c>
      <c r="B39" s="62" t="s">
        <v>680</v>
      </c>
      <c r="C39" s="62" t="s">
        <v>521</v>
      </c>
      <c r="D39" s="63" t="s">
        <v>681</v>
      </c>
      <c r="E39" s="63" t="s">
        <v>682</v>
      </c>
      <c r="F39" s="62" t="s">
        <v>638</v>
      </c>
      <c r="G39" s="62" t="s">
        <v>639</v>
      </c>
      <c r="H39" s="62" t="s">
        <v>665</v>
      </c>
      <c r="I39" s="62" t="s">
        <v>666</v>
      </c>
      <c r="J39" s="62"/>
      <c r="K39" s="62"/>
      <c r="L39" s="62" t="s">
        <v>482</v>
      </c>
      <c r="M39" s="62" t="s">
        <v>573</v>
      </c>
    </row>
    <row r="40" spans="1:13" ht="24" x14ac:dyDescent="0.55000000000000004">
      <c r="A40" s="62" t="s">
        <v>683</v>
      </c>
      <c r="B40" s="62" t="s">
        <v>684</v>
      </c>
      <c r="C40" s="62" t="s">
        <v>685</v>
      </c>
      <c r="D40" s="63" t="s">
        <v>686</v>
      </c>
      <c r="E40" s="63" t="s">
        <v>687</v>
      </c>
      <c r="F40" s="62" t="s">
        <v>638</v>
      </c>
      <c r="G40" s="62" t="s">
        <v>639</v>
      </c>
      <c r="H40" s="62" t="s">
        <v>665</v>
      </c>
      <c r="I40" s="62" t="s">
        <v>666</v>
      </c>
      <c r="J40" s="62"/>
      <c r="K40" s="62"/>
      <c r="L40" s="62" t="s">
        <v>482</v>
      </c>
      <c r="M40" s="62" t="s">
        <v>573</v>
      </c>
    </row>
    <row r="41" spans="1:13" ht="24" x14ac:dyDescent="0.55000000000000004">
      <c r="A41" s="62" t="s">
        <v>688</v>
      </c>
      <c r="B41" s="62" t="s">
        <v>689</v>
      </c>
      <c r="C41" s="62" t="s">
        <v>521</v>
      </c>
      <c r="D41" s="63" t="s">
        <v>690</v>
      </c>
      <c r="E41" s="63" t="s">
        <v>691</v>
      </c>
      <c r="F41" s="62" t="s">
        <v>638</v>
      </c>
      <c r="G41" s="62" t="s">
        <v>639</v>
      </c>
      <c r="H41" s="62" t="s">
        <v>665</v>
      </c>
      <c r="I41" s="62" t="s">
        <v>666</v>
      </c>
      <c r="J41" s="62"/>
      <c r="K41" s="62"/>
      <c r="L41" s="62" t="s">
        <v>482</v>
      </c>
      <c r="M41" s="62" t="s">
        <v>573</v>
      </c>
    </row>
    <row r="42" spans="1:13" ht="24" x14ac:dyDescent="0.55000000000000004">
      <c r="A42" s="62" t="s">
        <v>692</v>
      </c>
      <c r="B42" s="62" t="s">
        <v>693</v>
      </c>
      <c r="C42" s="62" t="s">
        <v>685</v>
      </c>
      <c r="D42" s="63" t="s">
        <v>694</v>
      </c>
      <c r="E42" s="63" t="s">
        <v>695</v>
      </c>
      <c r="F42" s="62" t="s">
        <v>638</v>
      </c>
      <c r="G42" s="62" t="s">
        <v>639</v>
      </c>
      <c r="H42" s="62" t="s">
        <v>665</v>
      </c>
      <c r="I42" s="62" t="s">
        <v>666</v>
      </c>
      <c r="J42" s="62"/>
      <c r="K42" s="62"/>
      <c r="L42" s="62" t="s">
        <v>558</v>
      </c>
      <c r="M42" s="62" t="s">
        <v>559</v>
      </c>
    </row>
    <row r="43" spans="1:13" ht="24" x14ac:dyDescent="0.55000000000000004">
      <c r="A43" s="62" t="s">
        <v>696</v>
      </c>
      <c r="B43" s="62" t="s">
        <v>697</v>
      </c>
      <c r="C43" s="62" t="s">
        <v>512</v>
      </c>
      <c r="D43" s="63" t="s">
        <v>698</v>
      </c>
      <c r="E43" s="63" t="s">
        <v>699</v>
      </c>
      <c r="F43" s="62" t="s">
        <v>638</v>
      </c>
      <c r="G43" s="62" t="s">
        <v>639</v>
      </c>
      <c r="H43" s="62" t="s">
        <v>665</v>
      </c>
      <c r="I43" s="62" t="s">
        <v>666</v>
      </c>
      <c r="J43" s="62"/>
      <c r="K43" s="62"/>
      <c r="L43" s="62" t="s">
        <v>482</v>
      </c>
      <c r="M43" s="62" t="s">
        <v>573</v>
      </c>
    </row>
    <row r="44" spans="1:13" ht="24" x14ac:dyDescent="0.55000000000000004">
      <c r="A44" s="62" t="s">
        <v>700</v>
      </c>
      <c r="B44" s="62" t="s">
        <v>701</v>
      </c>
      <c r="C44" s="62" t="s">
        <v>512</v>
      </c>
      <c r="D44" s="63" t="s">
        <v>702</v>
      </c>
      <c r="E44" s="63" t="s">
        <v>703</v>
      </c>
      <c r="F44" s="62" t="s">
        <v>638</v>
      </c>
      <c r="G44" s="62" t="s">
        <v>639</v>
      </c>
      <c r="H44" s="62" t="s">
        <v>665</v>
      </c>
      <c r="I44" s="62" t="s">
        <v>666</v>
      </c>
      <c r="J44" s="62"/>
      <c r="K44" s="62"/>
      <c r="L44" s="62" t="s">
        <v>482</v>
      </c>
      <c r="M44" s="62" t="s">
        <v>573</v>
      </c>
    </row>
    <row r="45" spans="1:13" ht="24" x14ac:dyDescent="0.55000000000000004">
      <c r="A45" s="62" t="s">
        <v>704</v>
      </c>
      <c r="B45" s="62" t="s">
        <v>705</v>
      </c>
      <c r="C45" s="62" t="s">
        <v>512</v>
      </c>
      <c r="D45" s="63" t="s">
        <v>706</v>
      </c>
      <c r="E45" s="63" t="s">
        <v>80</v>
      </c>
      <c r="F45" s="62" t="s">
        <v>638</v>
      </c>
      <c r="G45" s="62" t="s">
        <v>639</v>
      </c>
      <c r="H45" s="62" t="s">
        <v>665</v>
      </c>
      <c r="I45" s="62" t="s">
        <v>666</v>
      </c>
      <c r="J45" s="62"/>
      <c r="K45" s="62"/>
      <c r="L45" s="62" t="s">
        <v>558</v>
      </c>
      <c r="M45" s="62" t="s">
        <v>559</v>
      </c>
    </row>
    <row r="46" spans="1:13" ht="24" x14ac:dyDescent="0.55000000000000004">
      <c r="A46" s="62" t="s">
        <v>707</v>
      </c>
      <c r="B46" s="62" t="s">
        <v>708</v>
      </c>
      <c r="C46" s="62" t="s">
        <v>512</v>
      </c>
      <c r="D46" s="63" t="s">
        <v>709</v>
      </c>
      <c r="E46" s="63" t="s">
        <v>80</v>
      </c>
      <c r="F46" s="62" t="s">
        <v>638</v>
      </c>
      <c r="G46" s="62" t="s">
        <v>639</v>
      </c>
      <c r="H46" s="62" t="s">
        <v>665</v>
      </c>
      <c r="I46" s="62" t="s">
        <v>666</v>
      </c>
      <c r="J46" s="62"/>
      <c r="K46" s="62"/>
      <c r="L46" s="62" t="s">
        <v>482</v>
      </c>
      <c r="M46" s="62" t="s">
        <v>573</v>
      </c>
    </row>
    <row r="47" spans="1:13" ht="24" x14ac:dyDescent="0.55000000000000004">
      <c r="A47" s="62" t="s">
        <v>710</v>
      </c>
      <c r="B47" s="62" t="s">
        <v>711</v>
      </c>
      <c r="C47" s="62" t="s">
        <v>512</v>
      </c>
      <c r="D47" s="63" t="s">
        <v>712</v>
      </c>
      <c r="E47" s="63" t="s">
        <v>80</v>
      </c>
      <c r="F47" s="62" t="s">
        <v>638</v>
      </c>
      <c r="G47" s="62" t="s">
        <v>639</v>
      </c>
      <c r="H47" s="62" t="s">
        <v>665</v>
      </c>
      <c r="I47" s="62" t="s">
        <v>666</v>
      </c>
      <c r="J47" s="62"/>
      <c r="K47" s="62"/>
      <c r="L47" s="62" t="s">
        <v>482</v>
      </c>
      <c r="M47" s="62" t="s">
        <v>573</v>
      </c>
    </row>
    <row r="48" spans="1:13" ht="24" x14ac:dyDescent="0.55000000000000004">
      <c r="A48" s="62" t="s">
        <v>713</v>
      </c>
      <c r="B48" s="62" t="s">
        <v>714</v>
      </c>
      <c r="C48" s="62" t="s">
        <v>512</v>
      </c>
      <c r="D48" s="63" t="s">
        <v>715</v>
      </c>
      <c r="E48" s="63" t="s">
        <v>80</v>
      </c>
      <c r="F48" s="62" t="s">
        <v>638</v>
      </c>
      <c r="G48" s="62" t="s">
        <v>639</v>
      </c>
      <c r="H48" s="62" t="s">
        <v>665</v>
      </c>
      <c r="I48" s="62" t="s">
        <v>666</v>
      </c>
      <c r="J48" s="62"/>
      <c r="K48" s="62"/>
      <c r="L48" s="62" t="s">
        <v>482</v>
      </c>
      <c r="M48" s="62" t="s">
        <v>573</v>
      </c>
    </row>
    <row r="49" spans="1:13" ht="24" x14ac:dyDescent="0.55000000000000004">
      <c r="A49" s="62" t="s">
        <v>716</v>
      </c>
      <c r="B49" s="62" t="s">
        <v>717</v>
      </c>
      <c r="C49" s="62" t="s">
        <v>512</v>
      </c>
      <c r="D49" s="63" t="s">
        <v>718</v>
      </c>
      <c r="E49" s="63" t="s">
        <v>80</v>
      </c>
      <c r="F49" s="62" t="s">
        <v>638</v>
      </c>
      <c r="G49" s="62" t="s">
        <v>639</v>
      </c>
      <c r="H49" s="62" t="s">
        <v>665</v>
      </c>
      <c r="I49" s="62" t="s">
        <v>666</v>
      </c>
      <c r="J49" s="62"/>
      <c r="K49" s="62"/>
      <c r="L49" s="62" t="s">
        <v>482</v>
      </c>
      <c r="M49" s="62" t="s">
        <v>573</v>
      </c>
    </row>
    <row r="50" spans="1:13" ht="24" x14ac:dyDescent="0.55000000000000004">
      <c r="A50" s="62" t="s">
        <v>719</v>
      </c>
      <c r="B50" s="62" t="s">
        <v>720</v>
      </c>
      <c r="C50" s="62" t="s">
        <v>512</v>
      </c>
      <c r="D50" s="63" t="s">
        <v>721</v>
      </c>
      <c r="E50" s="63" t="s">
        <v>80</v>
      </c>
      <c r="F50" s="62" t="s">
        <v>638</v>
      </c>
      <c r="G50" s="62" t="s">
        <v>639</v>
      </c>
      <c r="H50" s="62" t="s">
        <v>665</v>
      </c>
      <c r="I50" s="62" t="s">
        <v>666</v>
      </c>
      <c r="J50" s="62"/>
      <c r="K50" s="62"/>
      <c r="L50" s="62" t="s">
        <v>482</v>
      </c>
      <c r="M50" s="62" t="s">
        <v>573</v>
      </c>
    </row>
    <row r="51" spans="1:13" ht="24" x14ac:dyDescent="0.55000000000000004">
      <c r="A51" s="62" t="s">
        <v>722</v>
      </c>
      <c r="B51" s="62" t="s">
        <v>723</v>
      </c>
      <c r="C51" s="62" t="s">
        <v>512</v>
      </c>
      <c r="D51" s="63" t="s">
        <v>724</v>
      </c>
      <c r="E51" s="63" t="s">
        <v>725</v>
      </c>
      <c r="F51" s="62" t="s">
        <v>638</v>
      </c>
      <c r="G51" s="62" t="s">
        <v>639</v>
      </c>
      <c r="H51" s="62" t="s">
        <v>665</v>
      </c>
      <c r="I51" s="62" t="s">
        <v>666</v>
      </c>
      <c r="J51" s="62"/>
      <c r="K51" s="62"/>
      <c r="L51" s="62" t="s">
        <v>482</v>
      </c>
      <c r="M51" s="62" t="s">
        <v>573</v>
      </c>
    </row>
    <row r="52" spans="1:13" ht="24" x14ac:dyDescent="0.55000000000000004">
      <c r="A52" s="62" t="s">
        <v>726</v>
      </c>
      <c r="B52" s="62" t="s">
        <v>727</v>
      </c>
      <c r="C52" s="62" t="s">
        <v>512</v>
      </c>
      <c r="D52" s="63" t="s">
        <v>728</v>
      </c>
      <c r="E52" s="63" t="s">
        <v>729</v>
      </c>
      <c r="F52" s="62" t="s">
        <v>638</v>
      </c>
      <c r="G52" s="62" t="s">
        <v>639</v>
      </c>
      <c r="H52" s="62" t="s">
        <v>665</v>
      </c>
      <c r="I52" s="62" t="s">
        <v>666</v>
      </c>
      <c r="J52" s="62"/>
      <c r="K52" s="62"/>
      <c r="L52" s="62" t="s">
        <v>482</v>
      </c>
      <c r="M52" s="62" t="s">
        <v>573</v>
      </c>
    </row>
    <row r="53" spans="1:13" ht="24" x14ac:dyDescent="0.55000000000000004">
      <c r="A53" s="62" t="s">
        <v>730</v>
      </c>
      <c r="B53" s="62" t="s">
        <v>731</v>
      </c>
      <c r="C53" s="62" t="s">
        <v>512</v>
      </c>
      <c r="D53" s="63" t="s">
        <v>732</v>
      </c>
      <c r="E53" s="63" t="s">
        <v>80</v>
      </c>
      <c r="F53" s="62" t="s">
        <v>638</v>
      </c>
      <c r="G53" s="62" t="s">
        <v>639</v>
      </c>
      <c r="H53" s="62" t="s">
        <v>665</v>
      </c>
      <c r="I53" s="62" t="s">
        <v>666</v>
      </c>
      <c r="J53" s="62"/>
      <c r="K53" s="62"/>
      <c r="L53" s="62" t="s">
        <v>482</v>
      </c>
      <c r="M53" s="62" t="s">
        <v>573</v>
      </c>
    </row>
    <row r="54" spans="1:13" ht="24" x14ac:dyDescent="0.55000000000000004">
      <c r="A54" s="62" t="s">
        <v>733</v>
      </c>
      <c r="B54" s="62" t="s">
        <v>734</v>
      </c>
      <c r="C54" s="62" t="s">
        <v>512</v>
      </c>
      <c r="D54" s="63" t="s">
        <v>735</v>
      </c>
      <c r="E54" s="63" t="s">
        <v>80</v>
      </c>
      <c r="F54" s="62" t="s">
        <v>638</v>
      </c>
      <c r="G54" s="62" t="s">
        <v>639</v>
      </c>
      <c r="H54" s="62" t="s">
        <v>665</v>
      </c>
      <c r="I54" s="62" t="s">
        <v>666</v>
      </c>
      <c r="J54" s="62"/>
      <c r="K54" s="62"/>
      <c r="L54" s="62" t="s">
        <v>482</v>
      </c>
      <c r="M54" s="62" t="s">
        <v>573</v>
      </c>
    </row>
    <row r="55" spans="1:13" ht="24" x14ac:dyDescent="0.55000000000000004">
      <c r="A55" s="62" t="s">
        <v>736</v>
      </c>
      <c r="B55" s="62" t="s">
        <v>737</v>
      </c>
      <c r="C55" s="62" t="s">
        <v>512</v>
      </c>
      <c r="D55" s="63" t="s">
        <v>738</v>
      </c>
      <c r="E55" s="63" t="s">
        <v>80</v>
      </c>
      <c r="F55" s="62" t="s">
        <v>638</v>
      </c>
      <c r="G55" s="62" t="s">
        <v>639</v>
      </c>
      <c r="H55" s="62" t="s">
        <v>665</v>
      </c>
      <c r="I55" s="62" t="s">
        <v>666</v>
      </c>
      <c r="J55" s="62"/>
      <c r="K55" s="62"/>
      <c r="L55" s="62" t="s">
        <v>482</v>
      </c>
      <c r="M55" s="62" t="s">
        <v>573</v>
      </c>
    </row>
    <row r="56" spans="1:13" ht="24" x14ac:dyDescent="0.55000000000000004">
      <c r="A56" s="62" t="s">
        <v>739</v>
      </c>
      <c r="B56" s="62" t="s">
        <v>740</v>
      </c>
      <c r="C56" s="62" t="s">
        <v>521</v>
      </c>
      <c r="D56" s="63" t="s">
        <v>741</v>
      </c>
      <c r="E56" s="63" t="s">
        <v>80</v>
      </c>
      <c r="F56" s="62" t="s">
        <v>638</v>
      </c>
      <c r="G56" s="62" t="s">
        <v>639</v>
      </c>
      <c r="H56" s="62" t="s">
        <v>665</v>
      </c>
      <c r="I56" s="62" t="s">
        <v>666</v>
      </c>
      <c r="J56" s="62"/>
      <c r="K56" s="62"/>
      <c r="L56" s="62" t="s">
        <v>482</v>
      </c>
      <c r="M56" s="62" t="s">
        <v>573</v>
      </c>
    </row>
    <row r="57" spans="1:13" ht="24" x14ac:dyDescent="0.55000000000000004">
      <c r="A57" s="62" t="s">
        <v>742</v>
      </c>
      <c r="B57" s="62" t="s">
        <v>743</v>
      </c>
      <c r="C57" s="62" t="s">
        <v>512</v>
      </c>
      <c r="D57" s="63" t="s">
        <v>744</v>
      </c>
      <c r="E57" s="63" t="s">
        <v>80</v>
      </c>
      <c r="F57" s="62" t="s">
        <v>638</v>
      </c>
      <c r="G57" s="62" t="s">
        <v>639</v>
      </c>
      <c r="H57" s="62" t="s">
        <v>665</v>
      </c>
      <c r="I57" s="62" t="s">
        <v>666</v>
      </c>
      <c r="J57" s="62"/>
      <c r="K57" s="62"/>
      <c r="L57" s="62" t="s">
        <v>482</v>
      </c>
      <c r="M57" s="62" t="s">
        <v>573</v>
      </c>
    </row>
    <row r="58" spans="1:13" ht="24" x14ac:dyDescent="0.55000000000000004">
      <c r="A58" s="62" t="s">
        <v>745</v>
      </c>
      <c r="B58" s="62" t="s">
        <v>746</v>
      </c>
      <c r="C58" s="62" t="s">
        <v>521</v>
      </c>
      <c r="D58" s="63" t="s">
        <v>747</v>
      </c>
      <c r="E58" s="63" t="s">
        <v>80</v>
      </c>
      <c r="F58" s="62" t="s">
        <v>638</v>
      </c>
      <c r="G58" s="62" t="s">
        <v>639</v>
      </c>
      <c r="H58" s="62" t="s">
        <v>665</v>
      </c>
      <c r="I58" s="62" t="s">
        <v>666</v>
      </c>
      <c r="J58" s="62"/>
      <c r="K58" s="62"/>
      <c r="L58" s="62" t="s">
        <v>482</v>
      </c>
      <c r="M58" s="62" t="s">
        <v>573</v>
      </c>
    </row>
    <row r="59" spans="1:13" ht="24" x14ac:dyDescent="0.55000000000000004">
      <c r="A59" s="62" t="s">
        <v>748</v>
      </c>
      <c r="B59" s="62" t="s">
        <v>749</v>
      </c>
      <c r="C59" s="62" t="s">
        <v>512</v>
      </c>
      <c r="D59" s="63" t="s">
        <v>750</v>
      </c>
      <c r="E59" s="63" t="s">
        <v>80</v>
      </c>
      <c r="F59" s="62" t="s">
        <v>638</v>
      </c>
      <c r="G59" s="62" t="s">
        <v>639</v>
      </c>
      <c r="H59" s="62" t="s">
        <v>665</v>
      </c>
      <c r="I59" s="62" t="s">
        <v>666</v>
      </c>
      <c r="J59" s="62"/>
      <c r="K59" s="62"/>
      <c r="L59" s="62" t="s">
        <v>482</v>
      </c>
      <c r="M59" s="62" t="s">
        <v>573</v>
      </c>
    </row>
    <row r="60" spans="1:13" ht="24" x14ac:dyDescent="0.55000000000000004">
      <c r="A60" s="62" t="s">
        <v>751</v>
      </c>
      <c r="B60" s="62" t="s">
        <v>752</v>
      </c>
      <c r="C60" s="62" t="s">
        <v>512</v>
      </c>
      <c r="D60" s="63" t="s">
        <v>753</v>
      </c>
      <c r="E60" s="63" t="s">
        <v>80</v>
      </c>
      <c r="F60" s="62" t="s">
        <v>638</v>
      </c>
      <c r="G60" s="62" t="s">
        <v>639</v>
      </c>
      <c r="H60" s="62" t="s">
        <v>665</v>
      </c>
      <c r="I60" s="62" t="s">
        <v>666</v>
      </c>
      <c r="J60" s="62"/>
      <c r="K60" s="62"/>
      <c r="L60" s="62" t="s">
        <v>482</v>
      </c>
      <c r="M60" s="62" t="s">
        <v>573</v>
      </c>
    </row>
    <row r="61" spans="1:13" ht="24" x14ac:dyDescent="0.55000000000000004">
      <c r="A61" s="62" t="s">
        <v>754</v>
      </c>
      <c r="B61" s="62" t="s">
        <v>755</v>
      </c>
      <c r="C61" s="62" t="s">
        <v>512</v>
      </c>
      <c r="D61" s="63" t="s">
        <v>756</v>
      </c>
      <c r="E61" s="63" t="s">
        <v>80</v>
      </c>
      <c r="F61" s="62" t="s">
        <v>638</v>
      </c>
      <c r="G61" s="62" t="s">
        <v>639</v>
      </c>
      <c r="H61" s="62" t="s">
        <v>665</v>
      </c>
      <c r="I61" s="62" t="s">
        <v>666</v>
      </c>
      <c r="J61" s="62"/>
      <c r="K61" s="62"/>
      <c r="L61" s="62" t="s">
        <v>482</v>
      </c>
      <c r="M61" s="62" t="s">
        <v>573</v>
      </c>
    </row>
    <row r="62" spans="1:13" ht="24" x14ac:dyDescent="0.55000000000000004">
      <c r="A62" s="62" t="s">
        <v>757</v>
      </c>
      <c r="B62" s="62" t="s">
        <v>758</v>
      </c>
      <c r="C62" s="62" t="s">
        <v>512</v>
      </c>
      <c r="D62" s="63" t="s">
        <v>759</v>
      </c>
      <c r="E62" s="63" t="s">
        <v>80</v>
      </c>
      <c r="F62" s="62" t="s">
        <v>638</v>
      </c>
      <c r="G62" s="62" t="s">
        <v>639</v>
      </c>
      <c r="H62" s="62" t="s">
        <v>665</v>
      </c>
      <c r="I62" s="62" t="s">
        <v>666</v>
      </c>
      <c r="J62" s="62"/>
      <c r="K62" s="62"/>
      <c r="L62" s="62" t="s">
        <v>482</v>
      </c>
      <c r="M62" s="62" t="s">
        <v>573</v>
      </c>
    </row>
    <row r="63" spans="1:13" ht="24" x14ac:dyDescent="0.55000000000000004">
      <c r="A63" s="62" t="s">
        <v>760</v>
      </c>
      <c r="B63" s="62" t="s">
        <v>761</v>
      </c>
      <c r="C63" s="62" t="s">
        <v>512</v>
      </c>
      <c r="D63" s="63" t="s">
        <v>762</v>
      </c>
      <c r="E63" s="63" t="s">
        <v>80</v>
      </c>
      <c r="F63" s="62" t="s">
        <v>638</v>
      </c>
      <c r="G63" s="62" t="s">
        <v>639</v>
      </c>
      <c r="H63" s="62" t="s">
        <v>665</v>
      </c>
      <c r="I63" s="62" t="s">
        <v>666</v>
      </c>
      <c r="J63" s="62"/>
      <c r="K63" s="62"/>
      <c r="L63" s="62" t="s">
        <v>482</v>
      </c>
      <c r="M63" s="62" t="s">
        <v>573</v>
      </c>
    </row>
    <row r="64" spans="1:13" ht="24" x14ac:dyDescent="0.55000000000000004">
      <c r="A64" s="62" t="s">
        <v>763</v>
      </c>
      <c r="B64" s="62" t="s">
        <v>764</v>
      </c>
      <c r="C64" s="62" t="s">
        <v>512</v>
      </c>
      <c r="D64" s="63" t="s">
        <v>765</v>
      </c>
      <c r="E64" s="63" t="s">
        <v>766</v>
      </c>
      <c r="F64" s="62" t="s">
        <v>638</v>
      </c>
      <c r="G64" s="62" t="s">
        <v>639</v>
      </c>
      <c r="H64" s="62" t="s">
        <v>665</v>
      </c>
      <c r="I64" s="62" t="s">
        <v>666</v>
      </c>
      <c r="J64" s="62"/>
      <c r="K64" s="62"/>
      <c r="L64" s="62" t="s">
        <v>482</v>
      </c>
      <c r="M64" s="62" t="s">
        <v>573</v>
      </c>
    </row>
    <row r="65" spans="1:13" ht="24" x14ac:dyDescent="0.55000000000000004">
      <c r="A65" s="62" t="s">
        <v>767</v>
      </c>
      <c r="B65" s="62" t="s">
        <v>768</v>
      </c>
      <c r="C65" s="62" t="s">
        <v>512</v>
      </c>
      <c r="D65" s="63" t="s">
        <v>769</v>
      </c>
      <c r="E65" s="63" t="s">
        <v>80</v>
      </c>
      <c r="F65" s="62" t="s">
        <v>638</v>
      </c>
      <c r="G65" s="62" t="s">
        <v>639</v>
      </c>
      <c r="H65" s="62" t="s">
        <v>665</v>
      </c>
      <c r="I65" s="62" t="s">
        <v>666</v>
      </c>
      <c r="J65" s="62"/>
      <c r="K65" s="62"/>
      <c r="L65" s="62" t="s">
        <v>482</v>
      </c>
      <c r="M65" s="62" t="s">
        <v>573</v>
      </c>
    </row>
    <row r="66" spans="1:13" ht="24" x14ac:dyDescent="0.55000000000000004">
      <c r="A66" s="62" t="s">
        <v>770</v>
      </c>
      <c r="B66" s="62" t="s">
        <v>771</v>
      </c>
      <c r="C66" s="62" t="s">
        <v>521</v>
      </c>
      <c r="D66" s="63" t="s">
        <v>772</v>
      </c>
      <c r="E66" s="63" t="s">
        <v>80</v>
      </c>
      <c r="F66" s="62" t="s">
        <v>638</v>
      </c>
      <c r="G66" s="62" t="s">
        <v>639</v>
      </c>
      <c r="H66" s="62" t="s">
        <v>665</v>
      </c>
      <c r="I66" s="62" t="s">
        <v>666</v>
      </c>
      <c r="J66" s="62"/>
      <c r="K66" s="62"/>
      <c r="L66" s="62" t="s">
        <v>482</v>
      </c>
      <c r="M66" s="62" t="s">
        <v>573</v>
      </c>
    </row>
    <row r="67" spans="1:13" ht="24" x14ac:dyDescent="0.55000000000000004">
      <c r="A67" s="62" t="s">
        <v>773</v>
      </c>
      <c r="B67" s="62" t="s">
        <v>774</v>
      </c>
      <c r="C67" s="62" t="s">
        <v>521</v>
      </c>
      <c r="D67" s="63" t="s">
        <v>775</v>
      </c>
      <c r="E67" s="63" t="s">
        <v>80</v>
      </c>
      <c r="F67" s="62" t="s">
        <v>638</v>
      </c>
      <c r="G67" s="62" t="s">
        <v>639</v>
      </c>
      <c r="H67" s="62" t="s">
        <v>665</v>
      </c>
      <c r="I67" s="62" t="s">
        <v>666</v>
      </c>
      <c r="J67" s="62"/>
      <c r="K67" s="62"/>
      <c r="L67" s="62" t="s">
        <v>482</v>
      </c>
      <c r="M67" s="62" t="s">
        <v>573</v>
      </c>
    </row>
    <row r="68" spans="1:13" ht="24" x14ac:dyDescent="0.55000000000000004">
      <c r="A68" s="62" t="s">
        <v>776</v>
      </c>
      <c r="B68" s="62" t="s">
        <v>777</v>
      </c>
      <c r="C68" s="62" t="s">
        <v>512</v>
      </c>
      <c r="D68" s="63" t="s">
        <v>778</v>
      </c>
      <c r="E68" s="63" t="s">
        <v>80</v>
      </c>
      <c r="F68" s="62" t="s">
        <v>638</v>
      </c>
      <c r="G68" s="62" t="s">
        <v>639</v>
      </c>
      <c r="H68" s="62" t="s">
        <v>665</v>
      </c>
      <c r="I68" s="62" t="s">
        <v>666</v>
      </c>
      <c r="J68" s="62"/>
      <c r="K68" s="62"/>
      <c r="L68" s="62" t="s">
        <v>482</v>
      </c>
      <c r="M68" s="62" t="s">
        <v>573</v>
      </c>
    </row>
    <row r="69" spans="1:13" ht="24" x14ac:dyDescent="0.55000000000000004">
      <c r="A69" s="62" t="s">
        <v>779</v>
      </c>
      <c r="B69" s="62" t="s">
        <v>780</v>
      </c>
      <c r="C69" s="62" t="s">
        <v>512</v>
      </c>
      <c r="D69" s="63" t="s">
        <v>781</v>
      </c>
      <c r="E69" s="63" t="s">
        <v>80</v>
      </c>
      <c r="F69" s="62" t="s">
        <v>638</v>
      </c>
      <c r="G69" s="62" t="s">
        <v>639</v>
      </c>
      <c r="H69" s="62" t="s">
        <v>665</v>
      </c>
      <c r="I69" s="62" t="s">
        <v>666</v>
      </c>
      <c r="J69" s="62"/>
      <c r="K69" s="62"/>
      <c r="L69" s="62" t="s">
        <v>482</v>
      </c>
      <c r="M69" s="62" t="s">
        <v>573</v>
      </c>
    </row>
    <row r="70" spans="1:13" ht="24" x14ac:dyDescent="0.55000000000000004">
      <c r="A70" s="62" t="s">
        <v>782</v>
      </c>
      <c r="B70" s="62" t="s">
        <v>783</v>
      </c>
      <c r="C70" s="62" t="s">
        <v>512</v>
      </c>
      <c r="D70" s="63" t="s">
        <v>784</v>
      </c>
      <c r="E70" s="63" t="s">
        <v>80</v>
      </c>
      <c r="F70" s="62" t="s">
        <v>638</v>
      </c>
      <c r="G70" s="62" t="s">
        <v>639</v>
      </c>
      <c r="H70" s="62" t="s">
        <v>665</v>
      </c>
      <c r="I70" s="62" t="s">
        <v>666</v>
      </c>
      <c r="J70" s="62"/>
      <c r="K70" s="62"/>
      <c r="L70" s="62" t="s">
        <v>482</v>
      </c>
      <c r="M70" s="62" t="s">
        <v>573</v>
      </c>
    </row>
    <row r="71" spans="1:13" ht="24" x14ac:dyDescent="0.55000000000000004">
      <c r="A71" s="62" t="s">
        <v>785</v>
      </c>
      <c r="B71" s="62" t="s">
        <v>786</v>
      </c>
      <c r="C71" s="62" t="s">
        <v>521</v>
      </c>
      <c r="D71" s="63" t="s">
        <v>787</v>
      </c>
      <c r="E71" s="63" t="s">
        <v>80</v>
      </c>
      <c r="F71" s="62" t="s">
        <v>638</v>
      </c>
      <c r="G71" s="62" t="s">
        <v>639</v>
      </c>
      <c r="H71" s="62" t="s">
        <v>665</v>
      </c>
      <c r="I71" s="62" t="s">
        <v>666</v>
      </c>
      <c r="J71" s="62"/>
      <c r="K71" s="62"/>
      <c r="L71" s="62" t="s">
        <v>482</v>
      </c>
      <c r="M71" s="62" t="s">
        <v>573</v>
      </c>
    </row>
    <row r="72" spans="1:13" ht="24" x14ac:dyDescent="0.55000000000000004">
      <c r="A72" s="62" t="s">
        <v>788</v>
      </c>
      <c r="B72" s="62" t="s">
        <v>789</v>
      </c>
      <c r="C72" s="62" t="s">
        <v>521</v>
      </c>
      <c r="D72" s="63" t="s">
        <v>790</v>
      </c>
      <c r="E72" s="63" t="s">
        <v>80</v>
      </c>
      <c r="F72" s="62" t="s">
        <v>638</v>
      </c>
      <c r="G72" s="62" t="s">
        <v>639</v>
      </c>
      <c r="H72" s="62" t="s">
        <v>665</v>
      </c>
      <c r="I72" s="62" t="s">
        <v>666</v>
      </c>
      <c r="J72" s="62"/>
      <c r="K72" s="62"/>
      <c r="L72" s="62" t="s">
        <v>482</v>
      </c>
      <c r="M72" s="62" t="s">
        <v>573</v>
      </c>
    </row>
    <row r="73" spans="1:13" ht="24" x14ac:dyDescent="0.55000000000000004">
      <c r="A73" s="62" t="s">
        <v>791</v>
      </c>
      <c r="B73" s="62" t="s">
        <v>792</v>
      </c>
      <c r="C73" s="62" t="s">
        <v>512</v>
      </c>
      <c r="D73" s="63" t="s">
        <v>793</v>
      </c>
      <c r="E73" s="63" t="s">
        <v>80</v>
      </c>
      <c r="F73" s="62" t="s">
        <v>638</v>
      </c>
      <c r="G73" s="62" t="s">
        <v>639</v>
      </c>
      <c r="H73" s="62" t="s">
        <v>665</v>
      </c>
      <c r="I73" s="62" t="s">
        <v>666</v>
      </c>
      <c r="J73" s="62"/>
      <c r="K73" s="62"/>
      <c r="L73" s="62" t="s">
        <v>482</v>
      </c>
      <c r="M73" s="62" t="s">
        <v>573</v>
      </c>
    </row>
    <row r="74" spans="1:13" ht="24" x14ac:dyDescent="0.55000000000000004">
      <c r="A74" s="62" t="s">
        <v>794</v>
      </c>
      <c r="B74" s="62" t="s">
        <v>795</v>
      </c>
      <c r="C74" s="62" t="s">
        <v>512</v>
      </c>
      <c r="D74" s="63" t="s">
        <v>796</v>
      </c>
      <c r="E74" s="63" t="s">
        <v>80</v>
      </c>
      <c r="F74" s="62" t="s">
        <v>638</v>
      </c>
      <c r="G74" s="62" t="s">
        <v>639</v>
      </c>
      <c r="H74" s="62" t="s">
        <v>665</v>
      </c>
      <c r="I74" s="62" t="s">
        <v>666</v>
      </c>
      <c r="J74" s="62"/>
      <c r="K74" s="62"/>
      <c r="L74" s="62" t="s">
        <v>482</v>
      </c>
      <c r="M74" s="62" t="s">
        <v>573</v>
      </c>
    </row>
    <row r="75" spans="1:13" ht="24" x14ac:dyDescent="0.55000000000000004">
      <c r="A75" s="62" t="s">
        <v>797</v>
      </c>
      <c r="B75" s="62" t="s">
        <v>798</v>
      </c>
      <c r="C75" s="62" t="s">
        <v>512</v>
      </c>
      <c r="D75" s="63" t="s">
        <v>799</v>
      </c>
      <c r="E75" s="63" t="s">
        <v>80</v>
      </c>
      <c r="F75" s="62" t="s">
        <v>638</v>
      </c>
      <c r="G75" s="62" t="s">
        <v>639</v>
      </c>
      <c r="H75" s="62" t="s">
        <v>665</v>
      </c>
      <c r="I75" s="62" t="s">
        <v>666</v>
      </c>
      <c r="J75" s="62"/>
      <c r="K75" s="62"/>
      <c r="L75" s="62" t="s">
        <v>482</v>
      </c>
      <c r="M75" s="62" t="s">
        <v>573</v>
      </c>
    </row>
    <row r="76" spans="1:13" ht="24" x14ac:dyDescent="0.55000000000000004">
      <c r="A76" s="62" t="s">
        <v>800</v>
      </c>
      <c r="B76" s="62" t="s">
        <v>801</v>
      </c>
      <c r="C76" s="62" t="s">
        <v>512</v>
      </c>
      <c r="D76" s="63" t="s">
        <v>802</v>
      </c>
      <c r="E76" s="63" t="s">
        <v>80</v>
      </c>
      <c r="F76" s="62" t="s">
        <v>638</v>
      </c>
      <c r="G76" s="62" t="s">
        <v>639</v>
      </c>
      <c r="H76" s="62" t="s">
        <v>665</v>
      </c>
      <c r="I76" s="62" t="s">
        <v>666</v>
      </c>
      <c r="J76" s="62"/>
      <c r="K76" s="62"/>
      <c r="L76" s="62" t="s">
        <v>482</v>
      </c>
      <c r="M76" s="62" t="s">
        <v>573</v>
      </c>
    </row>
    <row r="77" spans="1:13" ht="24" x14ac:dyDescent="0.55000000000000004">
      <c r="A77" s="62" t="s">
        <v>803</v>
      </c>
      <c r="B77" s="62" t="s">
        <v>804</v>
      </c>
      <c r="C77" s="62" t="s">
        <v>512</v>
      </c>
      <c r="D77" s="63" t="s">
        <v>805</v>
      </c>
      <c r="E77" s="63" t="s">
        <v>80</v>
      </c>
      <c r="F77" s="62" t="s">
        <v>638</v>
      </c>
      <c r="G77" s="62" t="s">
        <v>639</v>
      </c>
      <c r="H77" s="62" t="s">
        <v>665</v>
      </c>
      <c r="I77" s="62" t="s">
        <v>666</v>
      </c>
      <c r="J77" s="62"/>
      <c r="K77" s="62"/>
      <c r="L77" s="62" t="s">
        <v>558</v>
      </c>
      <c r="M77" s="62" t="s">
        <v>559</v>
      </c>
    </row>
    <row r="78" spans="1:13" ht="24" x14ac:dyDescent="0.55000000000000004">
      <c r="A78" s="62" t="s">
        <v>806</v>
      </c>
      <c r="B78" s="62" t="s">
        <v>807</v>
      </c>
      <c r="C78" s="62" t="s">
        <v>512</v>
      </c>
      <c r="D78" s="63" t="s">
        <v>808</v>
      </c>
      <c r="E78" s="63" t="s">
        <v>80</v>
      </c>
      <c r="F78" s="62" t="s">
        <v>638</v>
      </c>
      <c r="G78" s="62" t="s">
        <v>639</v>
      </c>
      <c r="H78" s="62" t="s">
        <v>665</v>
      </c>
      <c r="I78" s="62" t="s">
        <v>666</v>
      </c>
      <c r="J78" s="62"/>
      <c r="K78" s="62"/>
      <c r="L78" s="62" t="s">
        <v>482</v>
      </c>
      <c r="M78" s="62" t="s">
        <v>573</v>
      </c>
    </row>
    <row r="79" spans="1:13" ht="24" x14ac:dyDescent="0.55000000000000004">
      <c r="A79" s="62" t="s">
        <v>809</v>
      </c>
      <c r="B79" s="62" t="s">
        <v>810</v>
      </c>
      <c r="C79" s="62" t="s">
        <v>512</v>
      </c>
      <c r="D79" s="63" t="s">
        <v>811</v>
      </c>
      <c r="E79" s="63" t="s">
        <v>80</v>
      </c>
      <c r="F79" s="62" t="s">
        <v>638</v>
      </c>
      <c r="G79" s="62" t="s">
        <v>639</v>
      </c>
      <c r="H79" s="62" t="s">
        <v>665</v>
      </c>
      <c r="I79" s="62" t="s">
        <v>666</v>
      </c>
      <c r="J79" s="62"/>
      <c r="K79" s="62"/>
      <c r="L79" s="62" t="s">
        <v>482</v>
      </c>
      <c r="M79" s="62" t="s">
        <v>573</v>
      </c>
    </row>
    <row r="80" spans="1:13" ht="24" x14ac:dyDescent="0.55000000000000004">
      <c r="A80" s="62" t="s">
        <v>812</v>
      </c>
      <c r="B80" s="62" t="s">
        <v>813</v>
      </c>
      <c r="C80" s="62" t="s">
        <v>521</v>
      </c>
      <c r="D80" s="63" t="s">
        <v>814</v>
      </c>
      <c r="E80" s="63" t="s">
        <v>815</v>
      </c>
      <c r="F80" s="62" t="s">
        <v>638</v>
      </c>
      <c r="G80" s="62" t="s">
        <v>639</v>
      </c>
      <c r="H80" s="62" t="s">
        <v>816</v>
      </c>
      <c r="I80" s="62" t="s">
        <v>817</v>
      </c>
      <c r="J80" s="62"/>
      <c r="K80" s="62"/>
      <c r="L80" s="62" t="s">
        <v>482</v>
      </c>
      <c r="M80" s="62" t="s">
        <v>573</v>
      </c>
    </row>
    <row r="81" spans="1:13" ht="24" x14ac:dyDescent="0.55000000000000004">
      <c r="A81" s="62" t="s">
        <v>818</v>
      </c>
      <c r="B81" s="62" t="s">
        <v>819</v>
      </c>
      <c r="C81" s="62" t="s">
        <v>685</v>
      </c>
      <c r="D81" s="63" t="s">
        <v>820</v>
      </c>
      <c r="E81" s="63" t="s">
        <v>523</v>
      </c>
      <c r="F81" s="62" t="s">
        <v>638</v>
      </c>
      <c r="G81" s="62" t="s">
        <v>639</v>
      </c>
      <c r="H81" s="62" t="s">
        <v>816</v>
      </c>
      <c r="I81" s="62" t="s">
        <v>817</v>
      </c>
      <c r="J81" s="62"/>
      <c r="K81" s="62"/>
      <c r="L81" s="62" t="s">
        <v>482</v>
      </c>
      <c r="M81" s="62" t="s">
        <v>573</v>
      </c>
    </row>
    <row r="82" spans="1:13" ht="24" x14ac:dyDescent="0.55000000000000004">
      <c r="A82" s="62" t="s">
        <v>821</v>
      </c>
      <c r="B82" s="62" t="s">
        <v>822</v>
      </c>
      <c r="C82" s="62" t="s">
        <v>512</v>
      </c>
      <c r="D82" s="63" t="s">
        <v>823</v>
      </c>
      <c r="E82" s="63" t="s">
        <v>824</v>
      </c>
      <c r="F82" s="62" t="s">
        <v>638</v>
      </c>
      <c r="G82" s="62" t="s">
        <v>639</v>
      </c>
      <c r="H82" s="62" t="s">
        <v>816</v>
      </c>
      <c r="I82" s="62" t="s">
        <v>817</v>
      </c>
      <c r="J82" s="62"/>
      <c r="K82" s="62"/>
      <c r="L82" s="62" t="s">
        <v>482</v>
      </c>
      <c r="M82" s="62" t="s">
        <v>573</v>
      </c>
    </row>
    <row r="83" spans="1:13" ht="24" x14ac:dyDescent="0.55000000000000004">
      <c r="A83" s="62" t="s">
        <v>825</v>
      </c>
      <c r="B83" s="62" t="s">
        <v>826</v>
      </c>
      <c r="C83" s="62" t="s">
        <v>521</v>
      </c>
      <c r="D83" s="63" t="s">
        <v>827</v>
      </c>
      <c r="E83" s="63" t="s">
        <v>828</v>
      </c>
      <c r="F83" s="62" t="s">
        <v>638</v>
      </c>
      <c r="G83" s="62" t="s">
        <v>639</v>
      </c>
      <c r="H83" s="62" t="s">
        <v>816</v>
      </c>
      <c r="I83" s="62" t="s">
        <v>817</v>
      </c>
      <c r="J83" s="62"/>
      <c r="K83" s="62"/>
      <c r="L83" s="62" t="s">
        <v>482</v>
      </c>
      <c r="M83" s="62" t="s">
        <v>573</v>
      </c>
    </row>
    <row r="84" spans="1:13" ht="24" x14ac:dyDescent="0.55000000000000004">
      <c r="A84" s="62" t="s">
        <v>829</v>
      </c>
      <c r="B84" s="62" t="s">
        <v>830</v>
      </c>
      <c r="C84" s="62" t="s">
        <v>512</v>
      </c>
      <c r="D84" s="63" t="s">
        <v>831</v>
      </c>
      <c r="E84" s="63" t="s">
        <v>832</v>
      </c>
      <c r="F84" s="62" t="s">
        <v>638</v>
      </c>
      <c r="G84" s="62" t="s">
        <v>639</v>
      </c>
      <c r="H84" s="62" t="s">
        <v>816</v>
      </c>
      <c r="I84" s="62" t="s">
        <v>817</v>
      </c>
      <c r="J84" s="62"/>
      <c r="K84" s="62"/>
      <c r="L84" s="62" t="s">
        <v>558</v>
      </c>
      <c r="M84" s="62" t="s">
        <v>559</v>
      </c>
    </row>
    <row r="85" spans="1:13" ht="24" x14ac:dyDescent="0.55000000000000004">
      <c r="A85" s="62" t="s">
        <v>833</v>
      </c>
      <c r="B85" s="62" t="s">
        <v>834</v>
      </c>
      <c r="C85" s="62" t="s">
        <v>512</v>
      </c>
      <c r="D85" s="63" t="s">
        <v>835</v>
      </c>
      <c r="E85" s="63" t="s">
        <v>836</v>
      </c>
      <c r="F85" s="62" t="s">
        <v>638</v>
      </c>
      <c r="G85" s="62" t="s">
        <v>639</v>
      </c>
      <c r="H85" s="62" t="s">
        <v>816</v>
      </c>
      <c r="I85" s="62" t="s">
        <v>817</v>
      </c>
      <c r="J85" s="62"/>
      <c r="K85" s="62"/>
      <c r="L85" s="62" t="s">
        <v>837</v>
      </c>
      <c r="M85" s="62" t="s">
        <v>838</v>
      </c>
    </row>
    <row r="86" spans="1:13" ht="24" x14ac:dyDescent="0.55000000000000004">
      <c r="A86" s="62" t="s">
        <v>839</v>
      </c>
      <c r="B86" s="62" t="s">
        <v>840</v>
      </c>
      <c r="C86" s="62" t="s">
        <v>521</v>
      </c>
      <c r="D86" s="63" t="s">
        <v>841</v>
      </c>
      <c r="E86" s="63" t="s">
        <v>842</v>
      </c>
      <c r="F86" s="62" t="s">
        <v>638</v>
      </c>
      <c r="G86" s="62" t="s">
        <v>639</v>
      </c>
      <c r="H86" s="62" t="s">
        <v>816</v>
      </c>
      <c r="I86" s="62" t="s">
        <v>817</v>
      </c>
      <c r="J86" s="62"/>
      <c r="K86" s="62"/>
      <c r="L86" s="62" t="s">
        <v>482</v>
      </c>
      <c r="M86" s="62" t="s">
        <v>573</v>
      </c>
    </row>
    <row r="87" spans="1:13" ht="24" x14ac:dyDescent="0.55000000000000004">
      <c r="A87" s="62" t="s">
        <v>843</v>
      </c>
      <c r="B87" s="62" t="s">
        <v>844</v>
      </c>
      <c r="C87" s="62" t="s">
        <v>521</v>
      </c>
      <c r="D87" s="63" t="s">
        <v>845</v>
      </c>
      <c r="E87" s="63" t="s">
        <v>846</v>
      </c>
      <c r="F87" s="62" t="s">
        <v>638</v>
      </c>
      <c r="G87" s="62" t="s">
        <v>639</v>
      </c>
      <c r="H87" s="62" t="s">
        <v>816</v>
      </c>
      <c r="I87" s="62" t="s">
        <v>817</v>
      </c>
      <c r="J87" s="62"/>
      <c r="K87" s="62"/>
      <c r="L87" s="62" t="s">
        <v>482</v>
      </c>
      <c r="M87" s="62" t="s">
        <v>573</v>
      </c>
    </row>
    <row r="88" spans="1:13" ht="24" x14ac:dyDescent="0.55000000000000004">
      <c r="A88" s="62" t="s">
        <v>847</v>
      </c>
      <c r="B88" s="62" t="s">
        <v>848</v>
      </c>
      <c r="C88" s="62" t="s">
        <v>685</v>
      </c>
      <c r="D88" s="63" t="s">
        <v>849</v>
      </c>
      <c r="E88" s="63" t="s">
        <v>80</v>
      </c>
      <c r="F88" s="62" t="s">
        <v>638</v>
      </c>
      <c r="G88" s="62" t="s">
        <v>639</v>
      </c>
      <c r="H88" s="62" t="s">
        <v>816</v>
      </c>
      <c r="I88" s="62" t="s">
        <v>817</v>
      </c>
      <c r="J88" s="62"/>
      <c r="K88" s="62"/>
      <c r="L88" s="62" t="s">
        <v>482</v>
      </c>
      <c r="M88" s="62" t="s">
        <v>573</v>
      </c>
    </row>
    <row r="89" spans="1:13" ht="24" x14ac:dyDescent="0.55000000000000004">
      <c r="A89" s="62" t="s">
        <v>850</v>
      </c>
      <c r="B89" s="62" t="s">
        <v>851</v>
      </c>
      <c r="C89" s="62" t="s">
        <v>512</v>
      </c>
      <c r="D89" s="63" t="s">
        <v>852</v>
      </c>
      <c r="E89" s="63" t="s">
        <v>853</v>
      </c>
      <c r="F89" s="62" t="s">
        <v>638</v>
      </c>
      <c r="G89" s="62" t="s">
        <v>639</v>
      </c>
      <c r="H89" s="62" t="s">
        <v>816</v>
      </c>
      <c r="I89" s="62" t="s">
        <v>817</v>
      </c>
      <c r="J89" s="62"/>
      <c r="K89" s="62"/>
      <c r="L89" s="62" t="s">
        <v>534</v>
      </c>
      <c r="M89" s="62" t="s">
        <v>535</v>
      </c>
    </row>
    <row r="90" spans="1:13" ht="24" x14ac:dyDescent="0.55000000000000004">
      <c r="A90" s="62" t="s">
        <v>854</v>
      </c>
      <c r="B90" s="62" t="s">
        <v>855</v>
      </c>
      <c r="C90" s="62" t="s">
        <v>521</v>
      </c>
      <c r="D90" s="63" t="s">
        <v>856</v>
      </c>
      <c r="E90" s="63" t="s">
        <v>80</v>
      </c>
      <c r="F90" s="62" t="s">
        <v>638</v>
      </c>
      <c r="G90" s="62" t="s">
        <v>639</v>
      </c>
      <c r="H90" s="62" t="s">
        <v>816</v>
      </c>
      <c r="I90" s="62" t="s">
        <v>817</v>
      </c>
      <c r="J90" s="62"/>
      <c r="K90" s="62"/>
      <c r="L90" s="62" t="s">
        <v>482</v>
      </c>
      <c r="M90" s="62" t="s">
        <v>573</v>
      </c>
    </row>
    <row r="91" spans="1:13" ht="24" x14ac:dyDescent="0.55000000000000004">
      <c r="A91" s="62" t="s">
        <v>857</v>
      </c>
      <c r="B91" s="62" t="s">
        <v>858</v>
      </c>
      <c r="C91" s="62" t="s">
        <v>521</v>
      </c>
      <c r="D91" s="63" t="s">
        <v>859</v>
      </c>
      <c r="E91" s="63" t="s">
        <v>80</v>
      </c>
      <c r="F91" s="62" t="s">
        <v>638</v>
      </c>
      <c r="G91" s="62" t="s">
        <v>639</v>
      </c>
      <c r="H91" s="62" t="s">
        <v>816</v>
      </c>
      <c r="I91" s="62" t="s">
        <v>817</v>
      </c>
      <c r="J91" s="62"/>
      <c r="K91" s="62"/>
      <c r="L91" s="62" t="s">
        <v>482</v>
      </c>
      <c r="M91" s="62" t="s">
        <v>573</v>
      </c>
    </row>
    <row r="92" spans="1:13" ht="24" x14ac:dyDescent="0.55000000000000004">
      <c r="A92" s="62" t="s">
        <v>860</v>
      </c>
      <c r="B92" s="62" t="s">
        <v>861</v>
      </c>
      <c r="C92" s="62" t="s">
        <v>512</v>
      </c>
      <c r="D92" s="63" t="s">
        <v>862</v>
      </c>
      <c r="E92" s="63" t="s">
        <v>80</v>
      </c>
      <c r="F92" s="62" t="s">
        <v>638</v>
      </c>
      <c r="G92" s="62" t="s">
        <v>639</v>
      </c>
      <c r="H92" s="62" t="s">
        <v>816</v>
      </c>
      <c r="I92" s="62" t="s">
        <v>817</v>
      </c>
      <c r="J92" s="62"/>
      <c r="K92" s="62"/>
      <c r="L92" s="62" t="s">
        <v>534</v>
      </c>
      <c r="M92" s="62" t="s">
        <v>535</v>
      </c>
    </row>
    <row r="93" spans="1:13" ht="24" x14ac:dyDescent="0.55000000000000004">
      <c r="A93" s="62" t="s">
        <v>863</v>
      </c>
      <c r="B93" s="62" t="s">
        <v>864</v>
      </c>
      <c r="C93" s="62" t="s">
        <v>512</v>
      </c>
      <c r="D93" s="63" t="s">
        <v>865</v>
      </c>
      <c r="E93" s="63" t="s">
        <v>80</v>
      </c>
      <c r="F93" s="62" t="s">
        <v>638</v>
      </c>
      <c r="G93" s="62" t="s">
        <v>639</v>
      </c>
      <c r="H93" s="62" t="s">
        <v>816</v>
      </c>
      <c r="I93" s="62" t="s">
        <v>817</v>
      </c>
      <c r="J93" s="62"/>
      <c r="K93" s="62"/>
      <c r="L93" s="62" t="s">
        <v>534</v>
      </c>
      <c r="M93" s="62" t="s">
        <v>535</v>
      </c>
    </row>
    <row r="94" spans="1:13" ht="24" x14ac:dyDescent="0.55000000000000004">
      <c r="A94" s="62" t="s">
        <v>866</v>
      </c>
      <c r="B94" s="62" t="s">
        <v>867</v>
      </c>
      <c r="C94" s="62" t="s">
        <v>521</v>
      </c>
      <c r="D94" s="63" t="s">
        <v>868</v>
      </c>
      <c r="E94" s="63" t="s">
        <v>869</v>
      </c>
      <c r="F94" s="62" t="s">
        <v>638</v>
      </c>
      <c r="G94" s="62" t="s">
        <v>639</v>
      </c>
      <c r="H94" s="62" t="s">
        <v>816</v>
      </c>
      <c r="I94" s="62" t="s">
        <v>817</v>
      </c>
      <c r="J94" s="62"/>
      <c r="K94" s="62"/>
      <c r="L94" s="62" t="s">
        <v>482</v>
      </c>
      <c r="M94" s="62" t="s">
        <v>573</v>
      </c>
    </row>
    <row r="95" spans="1:13" ht="24" x14ac:dyDescent="0.55000000000000004">
      <c r="A95" s="62" t="s">
        <v>870</v>
      </c>
      <c r="B95" s="62" t="s">
        <v>871</v>
      </c>
      <c r="C95" s="62" t="s">
        <v>512</v>
      </c>
      <c r="D95" s="63" t="s">
        <v>872</v>
      </c>
      <c r="E95" s="63" t="s">
        <v>80</v>
      </c>
      <c r="F95" s="62" t="s">
        <v>638</v>
      </c>
      <c r="G95" s="62" t="s">
        <v>639</v>
      </c>
      <c r="H95" s="62" t="s">
        <v>816</v>
      </c>
      <c r="I95" s="62" t="s">
        <v>817</v>
      </c>
      <c r="J95" s="62"/>
      <c r="K95" s="62"/>
      <c r="L95" s="62" t="s">
        <v>482</v>
      </c>
      <c r="M95" s="62" t="s">
        <v>573</v>
      </c>
    </row>
    <row r="96" spans="1:13" ht="24" x14ac:dyDescent="0.55000000000000004">
      <c r="A96" s="62" t="s">
        <v>873</v>
      </c>
      <c r="B96" s="62" t="s">
        <v>874</v>
      </c>
      <c r="C96" s="62" t="s">
        <v>512</v>
      </c>
      <c r="D96" s="63" t="s">
        <v>875</v>
      </c>
      <c r="E96" s="63" t="s">
        <v>876</v>
      </c>
      <c r="F96" s="62" t="s">
        <v>638</v>
      </c>
      <c r="G96" s="62" t="s">
        <v>639</v>
      </c>
      <c r="H96" s="62" t="s">
        <v>816</v>
      </c>
      <c r="I96" s="62" t="s">
        <v>817</v>
      </c>
      <c r="J96" s="62"/>
      <c r="K96" s="62"/>
      <c r="L96" s="62" t="s">
        <v>482</v>
      </c>
      <c r="M96" s="62" t="s">
        <v>573</v>
      </c>
    </row>
    <row r="97" spans="1:13" ht="24" x14ac:dyDescent="0.55000000000000004">
      <c r="A97" s="62" t="s">
        <v>877</v>
      </c>
      <c r="B97" s="62" t="s">
        <v>878</v>
      </c>
      <c r="C97" s="62" t="s">
        <v>521</v>
      </c>
      <c r="D97" s="63" t="s">
        <v>879</v>
      </c>
      <c r="E97" s="63" t="s">
        <v>80</v>
      </c>
      <c r="F97" s="62" t="s">
        <v>638</v>
      </c>
      <c r="G97" s="62" t="s">
        <v>639</v>
      </c>
      <c r="H97" s="62" t="s">
        <v>816</v>
      </c>
      <c r="I97" s="62" t="s">
        <v>817</v>
      </c>
      <c r="J97" s="62"/>
      <c r="K97" s="62"/>
      <c r="L97" s="62" t="s">
        <v>482</v>
      </c>
      <c r="M97" s="62" t="s">
        <v>573</v>
      </c>
    </row>
    <row r="98" spans="1:13" ht="24" x14ac:dyDescent="0.55000000000000004">
      <c r="A98" s="62" t="s">
        <v>880</v>
      </c>
      <c r="B98" s="62" t="s">
        <v>881</v>
      </c>
      <c r="C98" s="62" t="s">
        <v>512</v>
      </c>
      <c r="D98" s="63" t="s">
        <v>882</v>
      </c>
      <c r="E98" s="63" t="s">
        <v>80</v>
      </c>
      <c r="F98" s="62" t="s">
        <v>638</v>
      </c>
      <c r="G98" s="62" t="s">
        <v>639</v>
      </c>
      <c r="H98" s="62" t="s">
        <v>816</v>
      </c>
      <c r="I98" s="62" t="s">
        <v>817</v>
      </c>
      <c r="J98" s="62"/>
      <c r="K98" s="62"/>
      <c r="L98" s="62" t="s">
        <v>534</v>
      </c>
      <c r="M98" s="62" t="s">
        <v>535</v>
      </c>
    </row>
    <row r="99" spans="1:13" ht="24" x14ac:dyDescent="0.55000000000000004">
      <c r="A99" s="62" t="s">
        <v>883</v>
      </c>
      <c r="B99" s="62" t="s">
        <v>884</v>
      </c>
      <c r="C99" s="62" t="s">
        <v>512</v>
      </c>
      <c r="D99" s="63" t="s">
        <v>885</v>
      </c>
      <c r="E99" s="63" t="s">
        <v>80</v>
      </c>
      <c r="F99" s="62" t="s">
        <v>638</v>
      </c>
      <c r="G99" s="62" t="s">
        <v>639</v>
      </c>
      <c r="H99" s="62" t="s">
        <v>816</v>
      </c>
      <c r="I99" s="62" t="s">
        <v>817</v>
      </c>
      <c r="J99" s="62"/>
      <c r="K99" s="62"/>
      <c r="L99" s="62" t="s">
        <v>482</v>
      </c>
      <c r="M99" s="62" t="s">
        <v>573</v>
      </c>
    </row>
    <row r="100" spans="1:13" ht="24" x14ac:dyDescent="0.55000000000000004">
      <c r="A100" s="62" t="s">
        <v>886</v>
      </c>
      <c r="B100" s="62" t="s">
        <v>887</v>
      </c>
      <c r="C100" s="62" t="s">
        <v>512</v>
      </c>
      <c r="D100" s="63" t="s">
        <v>888</v>
      </c>
      <c r="E100" s="63" t="s">
        <v>80</v>
      </c>
      <c r="F100" s="62" t="s">
        <v>638</v>
      </c>
      <c r="G100" s="62" t="s">
        <v>639</v>
      </c>
      <c r="H100" s="62" t="s">
        <v>816</v>
      </c>
      <c r="I100" s="62" t="s">
        <v>817</v>
      </c>
      <c r="J100" s="62"/>
      <c r="K100" s="62"/>
      <c r="L100" s="62" t="s">
        <v>482</v>
      </c>
      <c r="M100" s="62" t="s">
        <v>573</v>
      </c>
    </row>
    <row r="101" spans="1:13" ht="24" x14ac:dyDescent="0.55000000000000004">
      <c r="A101" s="62" t="s">
        <v>889</v>
      </c>
      <c r="B101" s="62" t="s">
        <v>890</v>
      </c>
      <c r="C101" s="62" t="s">
        <v>685</v>
      </c>
      <c r="D101" s="63" t="s">
        <v>891</v>
      </c>
      <c r="E101" s="63" t="s">
        <v>80</v>
      </c>
      <c r="F101" s="62" t="s">
        <v>638</v>
      </c>
      <c r="G101" s="62" t="s">
        <v>639</v>
      </c>
      <c r="H101" s="62" t="s">
        <v>816</v>
      </c>
      <c r="I101" s="62" t="s">
        <v>817</v>
      </c>
      <c r="J101" s="62"/>
      <c r="K101" s="62"/>
      <c r="L101" s="62" t="s">
        <v>482</v>
      </c>
      <c r="M101" s="62" t="s">
        <v>573</v>
      </c>
    </row>
    <row r="102" spans="1:13" ht="24" x14ac:dyDescent="0.55000000000000004">
      <c r="A102" s="62" t="s">
        <v>892</v>
      </c>
      <c r="B102" s="62" t="s">
        <v>893</v>
      </c>
      <c r="C102" s="62" t="s">
        <v>512</v>
      </c>
      <c r="D102" s="63" t="s">
        <v>894</v>
      </c>
      <c r="E102" s="63" t="s">
        <v>80</v>
      </c>
      <c r="F102" s="62" t="s">
        <v>638</v>
      </c>
      <c r="G102" s="62" t="s">
        <v>639</v>
      </c>
      <c r="H102" s="62" t="s">
        <v>816</v>
      </c>
      <c r="I102" s="62" t="s">
        <v>817</v>
      </c>
      <c r="J102" s="62"/>
      <c r="K102" s="62"/>
      <c r="L102" s="62" t="s">
        <v>482</v>
      </c>
      <c r="M102" s="62" t="s">
        <v>573</v>
      </c>
    </row>
    <row r="103" spans="1:13" ht="24" x14ac:dyDescent="0.55000000000000004">
      <c r="A103" s="62" t="s">
        <v>895</v>
      </c>
      <c r="B103" s="62" t="s">
        <v>896</v>
      </c>
      <c r="C103" s="62" t="s">
        <v>685</v>
      </c>
      <c r="D103" s="63" t="s">
        <v>897</v>
      </c>
      <c r="E103" s="63" t="s">
        <v>80</v>
      </c>
      <c r="F103" s="62" t="s">
        <v>638</v>
      </c>
      <c r="G103" s="62" t="s">
        <v>639</v>
      </c>
      <c r="H103" s="62" t="s">
        <v>816</v>
      </c>
      <c r="I103" s="62" t="s">
        <v>817</v>
      </c>
      <c r="J103" s="62"/>
      <c r="K103" s="62"/>
      <c r="L103" s="62" t="s">
        <v>482</v>
      </c>
      <c r="M103" s="62" t="s">
        <v>573</v>
      </c>
    </row>
    <row r="104" spans="1:13" ht="24" x14ac:dyDescent="0.55000000000000004">
      <c r="A104" s="62" t="s">
        <v>898</v>
      </c>
      <c r="B104" s="62" t="s">
        <v>899</v>
      </c>
      <c r="C104" s="62" t="s">
        <v>512</v>
      </c>
      <c r="D104" s="63" t="s">
        <v>900</v>
      </c>
      <c r="E104" s="63" t="s">
        <v>80</v>
      </c>
      <c r="F104" s="62" t="s">
        <v>638</v>
      </c>
      <c r="G104" s="62" t="s">
        <v>639</v>
      </c>
      <c r="H104" s="62" t="s">
        <v>816</v>
      </c>
      <c r="I104" s="62" t="s">
        <v>817</v>
      </c>
      <c r="J104" s="62"/>
      <c r="K104" s="62"/>
      <c r="L104" s="62" t="s">
        <v>482</v>
      </c>
      <c r="M104" s="62" t="s">
        <v>573</v>
      </c>
    </row>
    <row r="105" spans="1:13" ht="24" x14ac:dyDescent="0.55000000000000004">
      <c r="A105" s="62" t="s">
        <v>901</v>
      </c>
      <c r="B105" s="62" t="s">
        <v>902</v>
      </c>
      <c r="C105" s="62" t="s">
        <v>512</v>
      </c>
      <c r="D105" s="63" t="s">
        <v>903</v>
      </c>
      <c r="E105" s="63" t="s">
        <v>80</v>
      </c>
      <c r="F105" s="62" t="s">
        <v>638</v>
      </c>
      <c r="G105" s="62" t="s">
        <v>639</v>
      </c>
      <c r="H105" s="62" t="s">
        <v>816</v>
      </c>
      <c r="I105" s="62" t="s">
        <v>817</v>
      </c>
      <c r="J105" s="62"/>
      <c r="K105" s="62"/>
      <c r="L105" s="62" t="s">
        <v>482</v>
      </c>
      <c r="M105" s="62" t="s">
        <v>573</v>
      </c>
    </row>
    <row r="106" spans="1:13" ht="24" x14ac:dyDescent="0.55000000000000004">
      <c r="A106" s="62" t="s">
        <v>904</v>
      </c>
      <c r="B106" s="62" t="s">
        <v>905</v>
      </c>
      <c r="C106" s="62" t="s">
        <v>512</v>
      </c>
      <c r="D106" s="63" t="s">
        <v>906</v>
      </c>
      <c r="E106" s="63" t="s">
        <v>80</v>
      </c>
      <c r="F106" s="62" t="s">
        <v>638</v>
      </c>
      <c r="G106" s="62" t="s">
        <v>639</v>
      </c>
      <c r="H106" s="62" t="s">
        <v>816</v>
      </c>
      <c r="I106" s="62" t="s">
        <v>817</v>
      </c>
      <c r="J106" s="62"/>
      <c r="K106" s="62"/>
      <c r="L106" s="62" t="s">
        <v>482</v>
      </c>
      <c r="M106" s="62" t="s">
        <v>573</v>
      </c>
    </row>
    <row r="107" spans="1:13" ht="24" x14ac:dyDescent="0.55000000000000004">
      <c r="A107" s="62" t="s">
        <v>907</v>
      </c>
      <c r="B107" s="62" t="s">
        <v>908</v>
      </c>
      <c r="C107" s="62" t="s">
        <v>521</v>
      </c>
      <c r="D107" s="63" t="s">
        <v>909</v>
      </c>
      <c r="E107" s="63" t="s">
        <v>80</v>
      </c>
      <c r="F107" s="62" t="s">
        <v>638</v>
      </c>
      <c r="G107" s="62" t="s">
        <v>639</v>
      </c>
      <c r="H107" s="62" t="s">
        <v>816</v>
      </c>
      <c r="I107" s="62" t="s">
        <v>817</v>
      </c>
      <c r="J107" s="62"/>
      <c r="K107" s="62"/>
      <c r="L107" s="62" t="s">
        <v>482</v>
      </c>
      <c r="M107" s="62" t="s">
        <v>573</v>
      </c>
    </row>
    <row r="108" spans="1:13" ht="24" x14ac:dyDescent="0.55000000000000004">
      <c r="A108" s="62" t="s">
        <v>910</v>
      </c>
      <c r="B108" s="62" t="s">
        <v>911</v>
      </c>
      <c r="C108" s="62" t="s">
        <v>512</v>
      </c>
      <c r="D108" s="63" t="s">
        <v>912</v>
      </c>
      <c r="E108" s="63" t="s">
        <v>80</v>
      </c>
      <c r="F108" s="62" t="s">
        <v>638</v>
      </c>
      <c r="G108" s="62" t="s">
        <v>639</v>
      </c>
      <c r="H108" s="62" t="s">
        <v>816</v>
      </c>
      <c r="I108" s="62" t="s">
        <v>817</v>
      </c>
      <c r="J108" s="62"/>
      <c r="K108" s="62"/>
      <c r="L108" s="62" t="s">
        <v>482</v>
      </c>
      <c r="M108" s="62" t="s">
        <v>573</v>
      </c>
    </row>
    <row r="109" spans="1:13" ht="24" x14ac:dyDescent="0.55000000000000004">
      <c r="A109" s="62" t="s">
        <v>913</v>
      </c>
      <c r="B109" s="62" t="s">
        <v>914</v>
      </c>
      <c r="C109" s="62" t="s">
        <v>521</v>
      </c>
      <c r="D109" s="63" t="s">
        <v>915</v>
      </c>
      <c r="E109" s="63" t="s">
        <v>80</v>
      </c>
      <c r="F109" s="62" t="s">
        <v>638</v>
      </c>
      <c r="G109" s="62" t="s">
        <v>639</v>
      </c>
      <c r="H109" s="62" t="s">
        <v>816</v>
      </c>
      <c r="I109" s="62" t="s">
        <v>817</v>
      </c>
      <c r="J109" s="62"/>
      <c r="K109" s="62"/>
      <c r="L109" s="62" t="s">
        <v>482</v>
      </c>
      <c r="M109" s="62" t="s">
        <v>573</v>
      </c>
    </row>
    <row r="110" spans="1:13" ht="24" x14ac:dyDescent="0.55000000000000004">
      <c r="A110" s="62" t="s">
        <v>916</v>
      </c>
      <c r="B110" s="62" t="s">
        <v>917</v>
      </c>
      <c r="C110" s="62" t="s">
        <v>521</v>
      </c>
      <c r="D110" s="63" t="s">
        <v>918</v>
      </c>
      <c r="E110" s="63" t="s">
        <v>80</v>
      </c>
      <c r="F110" s="62" t="s">
        <v>638</v>
      </c>
      <c r="G110" s="62" t="s">
        <v>639</v>
      </c>
      <c r="H110" s="62" t="s">
        <v>816</v>
      </c>
      <c r="I110" s="62" t="s">
        <v>817</v>
      </c>
      <c r="J110" s="62"/>
      <c r="K110" s="62"/>
      <c r="L110" s="62" t="s">
        <v>482</v>
      </c>
      <c r="M110" s="62" t="s">
        <v>573</v>
      </c>
    </row>
    <row r="111" spans="1:13" ht="24" x14ac:dyDescent="0.55000000000000004">
      <c r="A111" s="62" t="s">
        <v>919</v>
      </c>
      <c r="B111" s="62" t="s">
        <v>920</v>
      </c>
      <c r="C111" s="62" t="s">
        <v>512</v>
      </c>
      <c r="D111" s="63" t="s">
        <v>921</v>
      </c>
      <c r="E111" s="63" t="s">
        <v>80</v>
      </c>
      <c r="F111" s="62" t="s">
        <v>638</v>
      </c>
      <c r="G111" s="62" t="s">
        <v>639</v>
      </c>
      <c r="H111" s="62" t="s">
        <v>816</v>
      </c>
      <c r="I111" s="62" t="s">
        <v>817</v>
      </c>
      <c r="J111" s="62"/>
      <c r="K111" s="62"/>
      <c r="L111" s="62" t="s">
        <v>482</v>
      </c>
      <c r="M111" s="62" t="s">
        <v>573</v>
      </c>
    </row>
    <row r="112" spans="1:13" ht="24" x14ac:dyDescent="0.55000000000000004">
      <c r="A112" s="62" t="s">
        <v>922</v>
      </c>
      <c r="B112" s="62" t="s">
        <v>923</v>
      </c>
      <c r="C112" s="62" t="s">
        <v>521</v>
      </c>
      <c r="D112" s="63" t="s">
        <v>924</v>
      </c>
      <c r="E112" s="63" t="s">
        <v>925</v>
      </c>
      <c r="F112" s="62" t="s">
        <v>638</v>
      </c>
      <c r="G112" s="62" t="s">
        <v>639</v>
      </c>
      <c r="H112" s="62" t="s">
        <v>926</v>
      </c>
      <c r="I112" s="62" t="s">
        <v>927</v>
      </c>
      <c r="J112" s="62"/>
      <c r="K112" s="62"/>
      <c r="L112" s="62" t="s">
        <v>528</v>
      </c>
      <c r="M112" s="62" t="s">
        <v>529</v>
      </c>
    </row>
    <row r="113" spans="1:13" ht="24" x14ac:dyDescent="0.55000000000000004">
      <c r="A113" s="62" t="s">
        <v>928</v>
      </c>
      <c r="B113" s="62" t="s">
        <v>929</v>
      </c>
      <c r="C113" s="62" t="s">
        <v>521</v>
      </c>
      <c r="D113" s="63" t="s">
        <v>930</v>
      </c>
      <c r="E113" s="63" t="s">
        <v>931</v>
      </c>
      <c r="F113" s="62" t="s">
        <v>638</v>
      </c>
      <c r="G113" s="62" t="s">
        <v>639</v>
      </c>
      <c r="H113" s="62" t="s">
        <v>926</v>
      </c>
      <c r="I113" s="62" t="s">
        <v>927</v>
      </c>
      <c r="J113" s="62" t="s">
        <v>932</v>
      </c>
      <c r="K113" s="62" t="s">
        <v>933</v>
      </c>
      <c r="L113" s="62" t="s">
        <v>558</v>
      </c>
      <c r="M113" s="62" t="s">
        <v>559</v>
      </c>
    </row>
    <row r="114" spans="1:13" ht="24" x14ac:dyDescent="0.55000000000000004">
      <c r="A114" s="62" t="s">
        <v>934</v>
      </c>
      <c r="B114" s="62" t="s">
        <v>935</v>
      </c>
      <c r="C114" s="62" t="s">
        <v>512</v>
      </c>
      <c r="D114" s="63" t="s">
        <v>936</v>
      </c>
      <c r="E114" s="63" t="s">
        <v>80</v>
      </c>
      <c r="F114" s="62" t="s">
        <v>638</v>
      </c>
      <c r="G114" s="62" t="s">
        <v>639</v>
      </c>
      <c r="H114" s="62" t="s">
        <v>926</v>
      </c>
      <c r="I114" s="62" t="s">
        <v>927</v>
      </c>
      <c r="J114" s="62" t="s">
        <v>932</v>
      </c>
      <c r="K114" s="62" t="s">
        <v>933</v>
      </c>
      <c r="L114" s="62" t="s">
        <v>482</v>
      </c>
      <c r="M114" s="62" t="s">
        <v>573</v>
      </c>
    </row>
    <row r="115" spans="1:13" ht="24" x14ac:dyDescent="0.55000000000000004">
      <c r="A115" s="62" t="s">
        <v>937</v>
      </c>
      <c r="B115" s="62" t="s">
        <v>938</v>
      </c>
      <c r="C115" s="62" t="s">
        <v>521</v>
      </c>
      <c r="D115" s="63" t="s">
        <v>939</v>
      </c>
      <c r="E115" s="63" t="s">
        <v>80</v>
      </c>
      <c r="F115" s="62" t="s">
        <v>638</v>
      </c>
      <c r="G115" s="62" t="s">
        <v>639</v>
      </c>
      <c r="H115" s="62" t="s">
        <v>926</v>
      </c>
      <c r="I115" s="62" t="s">
        <v>927</v>
      </c>
      <c r="J115" s="62" t="s">
        <v>932</v>
      </c>
      <c r="K115" s="62" t="s">
        <v>933</v>
      </c>
      <c r="L115" s="62" t="s">
        <v>482</v>
      </c>
      <c r="M115" s="62" t="s">
        <v>573</v>
      </c>
    </row>
    <row r="116" spans="1:13" ht="24" x14ac:dyDescent="0.55000000000000004">
      <c r="A116" s="62" t="s">
        <v>940</v>
      </c>
      <c r="B116" s="62" t="s">
        <v>941</v>
      </c>
      <c r="C116" s="62" t="s">
        <v>512</v>
      </c>
      <c r="D116" s="63" t="s">
        <v>942</v>
      </c>
      <c r="E116" s="63" t="s">
        <v>80</v>
      </c>
      <c r="F116" s="62" t="s">
        <v>638</v>
      </c>
      <c r="G116" s="62" t="s">
        <v>639</v>
      </c>
      <c r="H116" s="62" t="s">
        <v>926</v>
      </c>
      <c r="I116" s="62" t="s">
        <v>927</v>
      </c>
      <c r="J116" s="62" t="s">
        <v>932</v>
      </c>
      <c r="K116" s="62" t="s">
        <v>933</v>
      </c>
      <c r="L116" s="62" t="s">
        <v>482</v>
      </c>
      <c r="M116" s="62" t="s">
        <v>573</v>
      </c>
    </row>
    <row r="117" spans="1:13" ht="24" x14ac:dyDescent="0.55000000000000004">
      <c r="A117" s="62" t="s">
        <v>943</v>
      </c>
      <c r="B117" s="62" t="s">
        <v>944</v>
      </c>
      <c r="C117" s="62" t="s">
        <v>512</v>
      </c>
      <c r="D117" s="63" t="s">
        <v>945</v>
      </c>
      <c r="E117" s="63" t="s">
        <v>80</v>
      </c>
      <c r="F117" s="62" t="s">
        <v>638</v>
      </c>
      <c r="G117" s="62" t="s">
        <v>639</v>
      </c>
      <c r="H117" s="62" t="s">
        <v>926</v>
      </c>
      <c r="I117" s="62" t="s">
        <v>927</v>
      </c>
      <c r="J117" s="62" t="s">
        <v>932</v>
      </c>
      <c r="K117" s="62" t="s">
        <v>933</v>
      </c>
      <c r="L117" s="62" t="s">
        <v>534</v>
      </c>
      <c r="M117" s="62" t="s">
        <v>535</v>
      </c>
    </row>
    <row r="118" spans="1:13" ht="24" x14ac:dyDescent="0.55000000000000004">
      <c r="A118" s="62" t="s">
        <v>946</v>
      </c>
      <c r="B118" s="62" t="s">
        <v>947</v>
      </c>
      <c r="C118" s="62" t="s">
        <v>521</v>
      </c>
      <c r="D118" s="63" t="s">
        <v>948</v>
      </c>
      <c r="E118" s="63" t="s">
        <v>949</v>
      </c>
      <c r="F118" s="62" t="s">
        <v>638</v>
      </c>
      <c r="G118" s="62" t="s">
        <v>639</v>
      </c>
      <c r="H118" s="62" t="s">
        <v>926</v>
      </c>
      <c r="I118" s="62" t="s">
        <v>927</v>
      </c>
      <c r="J118" s="62" t="s">
        <v>932</v>
      </c>
      <c r="K118" s="62" t="s">
        <v>933</v>
      </c>
      <c r="L118" s="62" t="s">
        <v>482</v>
      </c>
      <c r="M118" s="62" t="s">
        <v>573</v>
      </c>
    </row>
    <row r="119" spans="1:13" ht="24" x14ac:dyDescent="0.55000000000000004">
      <c r="A119" s="62" t="s">
        <v>950</v>
      </c>
      <c r="B119" s="62" t="s">
        <v>951</v>
      </c>
      <c r="C119" s="62" t="s">
        <v>685</v>
      </c>
      <c r="D119" s="63" t="s">
        <v>952</v>
      </c>
      <c r="E119" s="63" t="s">
        <v>80</v>
      </c>
      <c r="F119" s="62" t="s">
        <v>638</v>
      </c>
      <c r="G119" s="62" t="s">
        <v>639</v>
      </c>
      <c r="H119" s="62" t="s">
        <v>926</v>
      </c>
      <c r="I119" s="62" t="s">
        <v>927</v>
      </c>
      <c r="J119" s="62" t="s">
        <v>932</v>
      </c>
      <c r="K119" s="62" t="s">
        <v>933</v>
      </c>
      <c r="L119" s="62" t="s">
        <v>482</v>
      </c>
      <c r="M119" s="62" t="s">
        <v>573</v>
      </c>
    </row>
    <row r="120" spans="1:13" ht="24" x14ac:dyDescent="0.55000000000000004">
      <c r="A120" s="62" t="s">
        <v>953</v>
      </c>
      <c r="B120" s="62" t="s">
        <v>954</v>
      </c>
      <c r="C120" s="62" t="s">
        <v>512</v>
      </c>
      <c r="D120" s="63" t="s">
        <v>955</v>
      </c>
      <c r="E120" s="63" t="s">
        <v>80</v>
      </c>
      <c r="F120" s="62" t="s">
        <v>638</v>
      </c>
      <c r="G120" s="62" t="s">
        <v>639</v>
      </c>
      <c r="H120" s="62" t="s">
        <v>926</v>
      </c>
      <c r="I120" s="62" t="s">
        <v>927</v>
      </c>
      <c r="J120" s="62" t="s">
        <v>932</v>
      </c>
      <c r="K120" s="62" t="s">
        <v>933</v>
      </c>
      <c r="L120" s="62" t="s">
        <v>558</v>
      </c>
      <c r="M120" s="62" t="s">
        <v>559</v>
      </c>
    </row>
    <row r="121" spans="1:13" ht="24" x14ac:dyDescent="0.55000000000000004">
      <c r="A121" s="62" t="s">
        <v>956</v>
      </c>
      <c r="B121" s="62" t="s">
        <v>957</v>
      </c>
      <c r="C121" s="62" t="s">
        <v>512</v>
      </c>
      <c r="D121" s="63" t="s">
        <v>958</v>
      </c>
      <c r="E121" s="63" t="s">
        <v>80</v>
      </c>
      <c r="F121" s="62" t="s">
        <v>638</v>
      </c>
      <c r="G121" s="62" t="s">
        <v>639</v>
      </c>
      <c r="H121" s="62" t="s">
        <v>926</v>
      </c>
      <c r="I121" s="62" t="s">
        <v>927</v>
      </c>
      <c r="J121" s="62" t="s">
        <v>932</v>
      </c>
      <c r="K121" s="62" t="s">
        <v>933</v>
      </c>
      <c r="L121" s="62" t="s">
        <v>482</v>
      </c>
      <c r="M121" s="62" t="s">
        <v>573</v>
      </c>
    </row>
    <row r="122" spans="1:13" ht="24" x14ac:dyDescent="0.55000000000000004">
      <c r="A122" s="62" t="s">
        <v>959</v>
      </c>
      <c r="B122" s="62" t="s">
        <v>960</v>
      </c>
      <c r="C122" s="62" t="s">
        <v>512</v>
      </c>
      <c r="D122" s="63" t="s">
        <v>961</v>
      </c>
      <c r="E122" s="63" t="s">
        <v>962</v>
      </c>
      <c r="F122" s="62" t="s">
        <v>638</v>
      </c>
      <c r="G122" s="62" t="s">
        <v>639</v>
      </c>
      <c r="H122" s="62" t="s">
        <v>926</v>
      </c>
      <c r="I122" s="62" t="s">
        <v>927</v>
      </c>
      <c r="J122" s="62" t="s">
        <v>932</v>
      </c>
      <c r="K122" s="62" t="s">
        <v>933</v>
      </c>
      <c r="L122" s="62" t="s">
        <v>482</v>
      </c>
      <c r="M122" s="62" t="s">
        <v>573</v>
      </c>
    </row>
    <row r="123" spans="1:13" ht="24" x14ac:dyDescent="0.55000000000000004">
      <c r="A123" s="62" t="s">
        <v>963</v>
      </c>
      <c r="B123" s="62" t="s">
        <v>964</v>
      </c>
      <c r="C123" s="62" t="s">
        <v>685</v>
      </c>
      <c r="D123" s="63" t="s">
        <v>965</v>
      </c>
      <c r="E123" s="63" t="s">
        <v>80</v>
      </c>
      <c r="F123" s="62" t="s">
        <v>638</v>
      </c>
      <c r="G123" s="62" t="s">
        <v>639</v>
      </c>
      <c r="H123" s="62" t="s">
        <v>926</v>
      </c>
      <c r="I123" s="62" t="s">
        <v>927</v>
      </c>
      <c r="J123" s="62" t="s">
        <v>932</v>
      </c>
      <c r="K123" s="62" t="s">
        <v>933</v>
      </c>
      <c r="L123" s="62" t="s">
        <v>482</v>
      </c>
      <c r="M123" s="62" t="s">
        <v>573</v>
      </c>
    </row>
    <row r="124" spans="1:13" ht="24" x14ac:dyDescent="0.55000000000000004">
      <c r="A124" s="62" t="s">
        <v>966</v>
      </c>
      <c r="B124" s="62" t="s">
        <v>967</v>
      </c>
      <c r="C124" s="62" t="s">
        <v>521</v>
      </c>
      <c r="D124" s="63" t="s">
        <v>968</v>
      </c>
      <c r="E124" s="63" t="s">
        <v>80</v>
      </c>
      <c r="F124" s="62" t="s">
        <v>638</v>
      </c>
      <c r="G124" s="62" t="s">
        <v>639</v>
      </c>
      <c r="H124" s="62" t="s">
        <v>926</v>
      </c>
      <c r="I124" s="62" t="s">
        <v>927</v>
      </c>
      <c r="J124" s="62" t="s">
        <v>932</v>
      </c>
      <c r="K124" s="62" t="s">
        <v>933</v>
      </c>
      <c r="L124" s="62" t="s">
        <v>482</v>
      </c>
      <c r="M124" s="62" t="s">
        <v>573</v>
      </c>
    </row>
    <row r="125" spans="1:13" ht="24" x14ac:dyDescent="0.55000000000000004">
      <c r="A125" s="62" t="s">
        <v>969</v>
      </c>
      <c r="B125" s="62" t="s">
        <v>970</v>
      </c>
      <c r="C125" s="62" t="s">
        <v>521</v>
      </c>
      <c r="D125" s="63" t="s">
        <v>971</v>
      </c>
      <c r="E125" s="63" t="s">
        <v>80</v>
      </c>
      <c r="F125" s="62" t="s">
        <v>638</v>
      </c>
      <c r="G125" s="62" t="s">
        <v>639</v>
      </c>
      <c r="H125" s="62" t="s">
        <v>926</v>
      </c>
      <c r="I125" s="62" t="s">
        <v>927</v>
      </c>
      <c r="J125" s="62" t="s">
        <v>932</v>
      </c>
      <c r="K125" s="62" t="s">
        <v>933</v>
      </c>
      <c r="L125" s="62" t="s">
        <v>482</v>
      </c>
      <c r="M125" s="62" t="s">
        <v>573</v>
      </c>
    </row>
    <row r="126" spans="1:13" ht="24" x14ac:dyDescent="0.55000000000000004">
      <c r="A126" s="62" t="s">
        <v>972</v>
      </c>
      <c r="B126" s="62" t="s">
        <v>973</v>
      </c>
      <c r="C126" s="62" t="s">
        <v>512</v>
      </c>
      <c r="D126" s="63" t="s">
        <v>974</v>
      </c>
      <c r="E126" s="63" t="s">
        <v>80</v>
      </c>
      <c r="F126" s="62" t="s">
        <v>638</v>
      </c>
      <c r="G126" s="62" t="s">
        <v>639</v>
      </c>
      <c r="H126" s="62" t="s">
        <v>926</v>
      </c>
      <c r="I126" s="62" t="s">
        <v>927</v>
      </c>
      <c r="J126" s="62" t="s">
        <v>932</v>
      </c>
      <c r="K126" s="62" t="s">
        <v>933</v>
      </c>
      <c r="L126" s="62" t="s">
        <v>482</v>
      </c>
      <c r="M126" s="62" t="s">
        <v>573</v>
      </c>
    </row>
    <row r="127" spans="1:13" ht="24" x14ac:dyDescent="0.55000000000000004">
      <c r="A127" s="62" t="s">
        <v>975</v>
      </c>
      <c r="B127" s="62" t="s">
        <v>976</v>
      </c>
      <c r="C127" s="62" t="s">
        <v>512</v>
      </c>
      <c r="D127" s="63" t="s">
        <v>977</v>
      </c>
      <c r="E127" s="63" t="s">
        <v>80</v>
      </c>
      <c r="F127" s="62" t="s">
        <v>638</v>
      </c>
      <c r="G127" s="62" t="s">
        <v>639</v>
      </c>
      <c r="H127" s="62" t="s">
        <v>926</v>
      </c>
      <c r="I127" s="62" t="s">
        <v>927</v>
      </c>
      <c r="J127" s="62" t="s">
        <v>932</v>
      </c>
      <c r="K127" s="62" t="s">
        <v>933</v>
      </c>
      <c r="L127" s="62" t="s">
        <v>482</v>
      </c>
      <c r="M127" s="62" t="s">
        <v>573</v>
      </c>
    </row>
    <row r="128" spans="1:13" ht="24" x14ac:dyDescent="0.55000000000000004">
      <c r="A128" s="62" t="s">
        <v>978</v>
      </c>
      <c r="B128" s="62" t="s">
        <v>979</v>
      </c>
      <c r="C128" s="62" t="s">
        <v>512</v>
      </c>
      <c r="D128" s="63" t="s">
        <v>980</v>
      </c>
      <c r="E128" s="63" t="s">
        <v>80</v>
      </c>
      <c r="F128" s="62" t="s">
        <v>638</v>
      </c>
      <c r="G128" s="62" t="s">
        <v>639</v>
      </c>
      <c r="H128" s="62" t="s">
        <v>926</v>
      </c>
      <c r="I128" s="62" t="s">
        <v>927</v>
      </c>
      <c r="J128" s="62" t="s">
        <v>932</v>
      </c>
      <c r="K128" s="62" t="s">
        <v>933</v>
      </c>
      <c r="L128" s="62" t="s">
        <v>482</v>
      </c>
      <c r="M128" s="62" t="s">
        <v>573</v>
      </c>
    </row>
    <row r="129" spans="1:13" ht="24" x14ac:dyDescent="0.55000000000000004">
      <c r="A129" s="62" t="s">
        <v>981</v>
      </c>
      <c r="B129" s="62" t="s">
        <v>982</v>
      </c>
      <c r="C129" s="62" t="s">
        <v>512</v>
      </c>
      <c r="D129" s="63" t="s">
        <v>983</v>
      </c>
      <c r="E129" s="63" t="s">
        <v>80</v>
      </c>
      <c r="F129" s="62" t="s">
        <v>638</v>
      </c>
      <c r="G129" s="62" t="s">
        <v>639</v>
      </c>
      <c r="H129" s="62" t="s">
        <v>926</v>
      </c>
      <c r="I129" s="62" t="s">
        <v>927</v>
      </c>
      <c r="J129" s="62" t="s">
        <v>932</v>
      </c>
      <c r="K129" s="62" t="s">
        <v>933</v>
      </c>
      <c r="L129" s="62" t="s">
        <v>482</v>
      </c>
      <c r="M129" s="62" t="s">
        <v>573</v>
      </c>
    </row>
    <row r="130" spans="1:13" ht="24" x14ac:dyDescent="0.55000000000000004">
      <c r="A130" s="62" t="s">
        <v>984</v>
      </c>
      <c r="B130" s="62" t="s">
        <v>985</v>
      </c>
      <c r="C130" s="62" t="s">
        <v>512</v>
      </c>
      <c r="D130" s="63" t="s">
        <v>986</v>
      </c>
      <c r="E130" s="63" t="s">
        <v>80</v>
      </c>
      <c r="F130" s="62" t="s">
        <v>638</v>
      </c>
      <c r="G130" s="62" t="s">
        <v>639</v>
      </c>
      <c r="H130" s="62" t="s">
        <v>926</v>
      </c>
      <c r="I130" s="62" t="s">
        <v>927</v>
      </c>
      <c r="J130" s="62" t="s">
        <v>932</v>
      </c>
      <c r="K130" s="62" t="s">
        <v>933</v>
      </c>
      <c r="L130" s="62" t="s">
        <v>482</v>
      </c>
      <c r="M130" s="62" t="s">
        <v>573</v>
      </c>
    </row>
    <row r="131" spans="1:13" ht="24" x14ac:dyDescent="0.55000000000000004">
      <c r="A131" s="62" t="s">
        <v>987</v>
      </c>
      <c r="B131" s="62" t="s">
        <v>988</v>
      </c>
      <c r="C131" s="62" t="s">
        <v>512</v>
      </c>
      <c r="D131" s="63" t="s">
        <v>989</v>
      </c>
      <c r="E131" s="63" t="s">
        <v>80</v>
      </c>
      <c r="F131" s="62" t="s">
        <v>638</v>
      </c>
      <c r="G131" s="62" t="s">
        <v>639</v>
      </c>
      <c r="H131" s="62" t="s">
        <v>926</v>
      </c>
      <c r="I131" s="62" t="s">
        <v>927</v>
      </c>
      <c r="J131" s="62" t="s">
        <v>932</v>
      </c>
      <c r="K131" s="62" t="s">
        <v>933</v>
      </c>
      <c r="L131" s="62" t="s">
        <v>482</v>
      </c>
      <c r="M131" s="62" t="s">
        <v>573</v>
      </c>
    </row>
    <row r="132" spans="1:13" ht="24" x14ac:dyDescent="0.55000000000000004">
      <c r="A132" s="62" t="s">
        <v>990</v>
      </c>
      <c r="B132" s="62" t="s">
        <v>991</v>
      </c>
      <c r="C132" s="62" t="s">
        <v>512</v>
      </c>
      <c r="D132" s="63" t="s">
        <v>992</v>
      </c>
      <c r="E132" s="63" t="s">
        <v>80</v>
      </c>
      <c r="F132" s="62" t="s">
        <v>638</v>
      </c>
      <c r="G132" s="62" t="s">
        <v>639</v>
      </c>
      <c r="H132" s="62" t="s">
        <v>926</v>
      </c>
      <c r="I132" s="62" t="s">
        <v>927</v>
      </c>
      <c r="J132" s="62" t="s">
        <v>932</v>
      </c>
      <c r="K132" s="62" t="s">
        <v>933</v>
      </c>
      <c r="L132" s="62" t="s">
        <v>482</v>
      </c>
      <c r="M132" s="62" t="s">
        <v>573</v>
      </c>
    </row>
    <row r="133" spans="1:13" ht="24" x14ac:dyDescent="0.55000000000000004">
      <c r="A133" s="62" t="s">
        <v>993</v>
      </c>
      <c r="B133" s="62" t="s">
        <v>994</v>
      </c>
      <c r="C133" s="62" t="s">
        <v>512</v>
      </c>
      <c r="D133" s="63" t="s">
        <v>995</v>
      </c>
      <c r="E133" s="63" t="s">
        <v>80</v>
      </c>
      <c r="F133" s="62" t="s">
        <v>638</v>
      </c>
      <c r="G133" s="62" t="s">
        <v>639</v>
      </c>
      <c r="H133" s="62" t="s">
        <v>926</v>
      </c>
      <c r="I133" s="62" t="s">
        <v>927</v>
      </c>
      <c r="J133" s="62" t="s">
        <v>932</v>
      </c>
      <c r="K133" s="62" t="s">
        <v>933</v>
      </c>
      <c r="L133" s="62" t="s">
        <v>482</v>
      </c>
      <c r="M133" s="62" t="s">
        <v>573</v>
      </c>
    </row>
    <row r="134" spans="1:13" ht="24" x14ac:dyDescent="0.55000000000000004">
      <c r="A134" s="62" t="s">
        <v>996</v>
      </c>
      <c r="B134" s="62" t="s">
        <v>997</v>
      </c>
      <c r="C134" s="62" t="s">
        <v>512</v>
      </c>
      <c r="D134" s="63" t="s">
        <v>998</v>
      </c>
      <c r="E134" s="63" t="s">
        <v>80</v>
      </c>
      <c r="F134" s="62" t="s">
        <v>638</v>
      </c>
      <c r="G134" s="62" t="s">
        <v>639</v>
      </c>
      <c r="H134" s="62" t="s">
        <v>926</v>
      </c>
      <c r="I134" s="62" t="s">
        <v>927</v>
      </c>
      <c r="J134" s="62" t="s">
        <v>932</v>
      </c>
      <c r="K134" s="62" t="s">
        <v>933</v>
      </c>
      <c r="L134" s="62" t="s">
        <v>482</v>
      </c>
      <c r="M134" s="62" t="s">
        <v>573</v>
      </c>
    </row>
    <row r="135" spans="1:13" ht="24" x14ac:dyDescent="0.55000000000000004">
      <c r="A135" s="62" t="s">
        <v>999</v>
      </c>
      <c r="B135" s="62" t="s">
        <v>1000</v>
      </c>
      <c r="C135" s="62" t="s">
        <v>512</v>
      </c>
      <c r="D135" s="63" t="s">
        <v>1001</v>
      </c>
      <c r="E135" s="63" t="s">
        <v>80</v>
      </c>
      <c r="F135" s="62" t="s">
        <v>638</v>
      </c>
      <c r="G135" s="62" t="s">
        <v>639</v>
      </c>
      <c r="H135" s="62" t="s">
        <v>926</v>
      </c>
      <c r="I135" s="62" t="s">
        <v>927</v>
      </c>
      <c r="J135" s="62" t="s">
        <v>932</v>
      </c>
      <c r="K135" s="62" t="s">
        <v>933</v>
      </c>
      <c r="L135" s="62" t="s">
        <v>482</v>
      </c>
      <c r="M135" s="62" t="s">
        <v>573</v>
      </c>
    </row>
    <row r="136" spans="1:13" ht="24" x14ac:dyDescent="0.55000000000000004">
      <c r="A136" s="62" t="s">
        <v>1002</v>
      </c>
      <c r="B136" s="62" t="s">
        <v>1003</v>
      </c>
      <c r="C136" s="62" t="s">
        <v>512</v>
      </c>
      <c r="D136" s="63" t="s">
        <v>1004</v>
      </c>
      <c r="E136" s="63" t="s">
        <v>80</v>
      </c>
      <c r="F136" s="62" t="s">
        <v>638</v>
      </c>
      <c r="G136" s="62" t="s">
        <v>639</v>
      </c>
      <c r="H136" s="62" t="s">
        <v>926</v>
      </c>
      <c r="I136" s="62" t="s">
        <v>927</v>
      </c>
      <c r="J136" s="62" t="s">
        <v>932</v>
      </c>
      <c r="K136" s="62" t="s">
        <v>933</v>
      </c>
      <c r="L136" s="62" t="s">
        <v>482</v>
      </c>
      <c r="M136" s="62" t="s">
        <v>573</v>
      </c>
    </row>
    <row r="137" spans="1:13" ht="24" x14ac:dyDescent="0.55000000000000004">
      <c r="A137" s="62" t="s">
        <v>1005</v>
      </c>
      <c r="B137" s="62" t="s">
        <v>1006</v>
      </c>
      <c r="C137" s="62" t="s">
        <v>512</v>
      </c>
      <c r="D137" s="63" t="s">
        <v>1007</v>
      </c>
      <c r="E137" s="63" t="s">
        <v>80</v>
      </c>
      <c r="F137" s="62" t="s">
        <v>638</v>
      </c>
      <c r="G137" s="62" t="s">
        <v>639</v>
      </c>
      <c r="H137" s="62" t="s">
        <v>926</v>
      </c>
      <c r="I137" s="62" t="s">
        <v>927</v>
      </c>
      <c r="J137" s="62" t="s">
        <v>932</v>
      </c>
      <c r="K137" s="62" t="s">
        <v>933</v>
      </c>
      <c r="L137" s="62" t="s">
        <v>482</v>
      </c>
      <c r="M137" s="62" t="s">
        <v>573</v>
      </c>
    </row>
    <row r="138" spans="1:13" ht="24" x14ac:dyDescent="0.55000000000000004">
      <c r="A138" s="62" t="s">
        <v>1008</v>
      </c>
      <c r="B138" s="62" t="s">
        <v>1009</v>
      </c>
      <c r="C138" s="62" t="s">
        <v>512</v>
      </c>
      <c r="D138" s="63" t="s">
        <v>1010</v>
      </c>
      <c r="E138" s="63" t="s">
        <v>80</v>
      </c>
      <c r="F138" s="62" t="s">
        <v>638</v>
      </c>
      <c r="G138" s="62" t="s">
        <v>639</v>
      </c>
      <c r="H138" s="62" t="s">
        <v>926</v>
      </c>
      <c r="I138" s="62" t="s">
        <v>927</v>
      </c>
      <c r="J138" s="62" t="s">
        <v>932</v>
      </c>
      <c r="K138" s="62" t="s">
        <v>933</v>
      </c>
      <c r="L138" s="62" t="s">
        <v>482</v>
      </c>
      <c r="M138" s="62" t="s">
        <v>573</v>
      </c>
    </row>
    <row r="139" spans="1:13" ht="24" x14ac:dyDescent="0.55000000000000004">
      <c r="A139" s="62" t="s">
        <v>1011</v>
      </c>
      <c r="B139" s="62" t="s">
        <v>1012</v>
      </c>
      <c r="C139" s="62" t="s">
        <v>512</v>
      </c>
      <c r="D139" s="63" t="s">
        <v>1013</v>
      </c>
      <c r="E139" s="63" t="s">
        <v>80</v>
      </c>
      <c r="F139" s="62" t="s">
        <v>638</v>
      </c>
      <c r="G139" s="62" t="s">
        <v>639</v>
      </c>
      <c r="H139" s="62" t="s">
        <v>926</v>
      </c>
      <c r="I139" s="62" t="s">
        <v>927</v>
      </c>
      <c r="J139" s="62" t="s">
        <v>932</v>
      </c>
      <c r="K139" s="62" t="s">
        <v>933</v>
      </c>
      <c r="L139" s="62" t="s">
        <v>482</v>
      </c>
      <c r="M139" s="62" t="s">
        <v>573</v>
      </c>
    </row>
    <row r="140" spans="1:13" ht="24" x14ac:dyDescent="0.55000000000000004">
      <c r="A140" s="62" t="s">
        <v>1014</v>
      </c>
      <c r="B140" s="62" t="s">
        <v>1015</v>
      </c>
      <c r="C140" s="62" t="s">
        <v>512</v>
      </c>
      <c r="D140" s="63" t="s">
        <v>1016</v>
      </c>
      <c r="E140" s="63" t="s">
        <v>80</v>
      </c>
      <c r="F140" s="62" t="s">
        <v>638</v>
      </c>
      <c r="G140" s="62" t="s">
        <v>639</v>
      </c>
      <c r="H140" s="62" t="s">
        <v>926</v>
      </c>
      <c r="I140" s="62" t="s">
        <v>927</v>
      </c>
      <c r="J140" s="62" t="s">
        <v>932</v>
      </c>
      <c r="K140" s="62" t="s">
        <v>933</v>
      </c>
      <c r="L140" s="62" t="s">
        <v>482</v>
      </c>
      <c r="M140" s="62" t="s">
        <v>573</v>
      </c>
    </row>
    <row r="141" spans="1:13" ht="24" x14ac:dyDescent="0.55000000000000004">
      <c r="A141" s="62" t="s">
        <v>1017</v>
      </c>
      <c r="B141" s="62" t="s">
        <v>1018</v>
      </c>
      <c r="C141" s="62" t="s">
        <v>512</v>
      </c>
      <c r="D141" s="63" t="s">
        <v>1019</v>
      </c>
      <c r="E141" s="63" t="s">
        <v>80</v>
      </c>
      <c r="F141" s="62" t="s">
        <v>638</v>
      </c>
      <c r="G141" s="62" t="s">
        <v>639</v>
      </c>
      <c r="H141" s="62" t="s">
        <v>926</v>
      </c>
      <c r="I141" s="62" t="s">
        <v>927</v>
      </c>
      <c r="J141" s="62" t="s">
        <v>932</v>
      </c>
      <c r="K141" s="62" t="s">
        <v>933</v>
      </c>
      <c r="L141" s="62" t="s">
        <v>482</v>
      </c>
      <c r="M141" s="62" t="s">
        <v>573</v>
      </c>
    </row>
    <row r="142" spans="1:13" ht="24" x14ac:dyDescent="0.55000000000000004">
      <c r="A142" s="62" t="s">
        <v>1020</v>
      </c>
      <c r="B142" s="62" t="s">
        <v>1021</v>
      </c>
      <c r="C142" s="62" t="s">
        <v>521</v>
      </c>
      <c r="D142" s="63" t="s">
        <v>1022</v>
      </c>
      <c r="E142" s="63" t="s">
        <v>80</v>
      </c>
      <c r="F142" s="62" t="s">
        <v>638</v>
      </c>
      <c r="G142" s="62" t="s">
        <v>639</v>
      </c>
      <c r="H142" s="62" t="s">
        <v>926</v>
      </c>
      <c r="I142" s="62" t="s">
        <v>927</v>
      </c>
      <c r="J142" s="62" t="s">
        <v>932</v>
      </c>
      <c r="K142" s="62" t="s">
        <v>933</v>
      </c>
      <c r="L142" s="62" t="s">
        <v>482</v>
      </c>
      <c r="M142" s="62" t="s">
        <v>573</v>
      </c>
    </row>
    <row r="143" spans="1:13" ht="24" x14ac:dyDescent="0.55000000000000004">
      <c r="A143" s="62" t="s">
        <v>1023</v>
      </c>
      <c r="B143" s="62" t="s">
        <v>1024</v>
      </c>
      <c r="C143" s="62" t="s">
        <v>512</v>
      </c>
      <c r="D143" s="63" t="s">
        <v>1025</v>
      </c>
      <c r="E143" s="63" t="s">
        <v>80</v>
      </c>
      <c r="F143" s="62" t="s">
        <v>638</v>
      </c>
      <c r="G143" s="62" t="s">
        <v>639</v>
      </c>
      <c r="H143" s="62" t="s">
        <v>926</v>
      </c>
      <c r="I143" s="62" t="s">
        <v>927</v>
      </c>
      <c r="J143" s="62" t="s">
        <v>932</v>
      </c>
      <c r="K143" s="62" t="s">
        <v>933</v>
      </c>
      <c r="L143" s="62" t="s">
        <v>482</v>
      </c>
      <c r="M143" s="62" t="s">
        <v>573</v>
      </c>
    </row>
    <row r="144" spans="1:13" ht="24" x14ac:dyDescent="0.55000000000000004">
      <c r="A144" s="62" t="s">
        <v>1026</v>
      </c>
      <c r="B144" s="62" t="s">
        <v>1027</v>
      </c>
      <c r="C144" s="62" t="s">
        <v>512</v>
      </c>
      <c r="D144" s="63" t="s">
        <v>1028</v>
      </c>
      <c r="E144" s="63" t="s">
        <v>80</v>
      </c>
      <c r="F144" s="62" t="s">
        <v>638</v>
      </c>
      <c r="G144" s="62" t="s">
        <v>639</v>
      </c>
      <c r="H144" s="62" t="s">
        <v>926</v>
      </c>
      <c r="I144" s="62" t="s">
        <v>927</v>
      </c>
      <c r="J144" s="62" t="s">
        <v>932</v>
      </c>
      <c r="K144" s="62" t="s">
        <v>933</v>
      </c>
      <c r="L144" s="62" t="s">
        <v>482</v>
      </c>
      <c r="M144" s="62" t="s">
        <v>573</v>
      </c>
    </row>
    <row r="145" spans="1:13" ht="24" x14ac:dyDescent="0.55000000000000004">
      <c r="A145" s="62" t="s">
        <v>1029</v>
      </c>
      <c r="B145" s="62" t="s">
        <v>1030</v>
      </c>
      <c r="C145" s="62" t="s">
        <v>512</v>
      </c>
      <c r="D145" s="63" t="s">
        <v>1031</v>
      </c>
      <c r="E145" s="63" t="s">
        <v>80</v>
      </c>
      <c r="F145" s="62" t="s">
        <v>638</v>
      </c>
      <c r="G145" s="62" t="s">
        <v>639</v>
      </c>
      <c r="H145" s="62" t="s">
        <v>926</v>
      </c>
      <c r="I145" s="62" t="s">
        <v>927</v>
      </c>
      <c r="J145" s="62" t="s">
        <v>932</v>
      </c>
      <c r="K145" s="62" t="s">
        <v>933</v>
      </c>
      <c r="L145" s="62" t="s">
        <v>534</v>
      </c>
      <c r="M145" s="62" t="s">
        <v>535</v>
      </c>
    </row>
    <row r="146" spans="1:13" ht="24" x14ac:dyDescent="0.55000000000000004">
      <c r="A146" s="62" t="s">
        <v>1032</v>
      </c>
      <c r="B146" s="62" t="s">
        <v>1033</v>
      </c>
      <c r="C146" s="62" t="s">
        <v>512</v>
      </c>
      <c r="D146" s="63" t="s">
        <v>1034</v>
      </c>
      <c r="E146" s="63" t="s">
        <v>80</v>
      </c>
      <c r="F146" s="62" t="s">
        <v>638</v>
      </c>
      <c r="G146" s="62" t="s">
        <v>639</v>
      </c>
      <c r="H146" s="62" t="s">
        <v>926</v>
      </c>
      <c r="I146" s="62" t="s">
        <v>927</v>
      </c>
      <c r="J146" s="62" t="s">
        <v>932</v>
      </c>
      <c r="K146" s="62" t="s">
        <v>933</v>
      </c>
      <c r="L146" s="62" t="s">
        <v>482</v>
      </c>
      <c r="M146" s="62" t="s">
        <v>573</v>
      </c>
    </row>
    <row r="147" spans="1:13" ht="24" x14ac:dyDescent="0.55000000000000004">
      <c r="A147" s="62" t="s">
        <v>1035</v>
      </c>
      <c r="B147" s="62" t="s">
        <v>1036</v>
      </c>
      <c r="C147" s="62" t="s">
        <v>512</v>
      </c>
      <c r="D147" s="63" t="s">
        <v>1037</v>
      </c>
      <c r="E147" s="63" t="s">
        <v>80</v>
      </c>
      <c r="F147" s="62" t="s">
        <v>638</v>
      </c>
      <c r="G147" s="62" t="s">
        <v>639</v>
      </c>
      <c r="H147" s="62" t="s">
        <v>926</v>
      </c>
      <c r="I147" s="62" t="s">
        <v>927</v>
      </c>
      <c r="J147" s="62" t="s">
        <v>932</v>
      </c>
      <c r="K147" s="62" t="s">
        <v>933</v>
      </c>
      <c r="L147" s="62" t="s">
        <v>482</v>
      </c>
      <c r="M147" s="62" t="s">
        <v>573</v>
      </c>
    </row>
    <row r="148" spans="1:13" ht="24" x14ac:dyDescent="0.55000000000000004">
      <c r="A148" s="62" t="s">
        <v>1038</v>
      </c>
      <c r="B148" s="62" t="s">
        <v>1039</v>
      </c>
      <c r="C148" s="62" t="s">
        <v>512</v>
      </c>
      <c r="D148" s="63" t="s">
        <v>1040</v>
      </c>
      <c r="E148" s="63" t="s">
        <v>80</v>
      </c>
      <c r="F148" s="62" t="s">
        <v>638</v>
      </c>
      <c r="G148" s="62" t="s">
        <v>639</v>
      </c>
      <c r="H148" s="62" t="s">
        <v>926</v>
      </c>
      <c r="I148" s="62" t="s">
        <v>927</v>
      </c>
      <c r="J148" s="62" t="s">
        <v>932</v>
      </c>
      <c r="K148" s="62" t="s">
        <v>933</v>
      </c>
      <c r="L148" s="62" t="s">
        <v>482</v>
      </c>
      <c r="M148" s="62" t="s">
        <v>573</v>
      </c>
    </row>
    <row r="149" spans="1:13" ht="24" x14ac:dyDescent="0.55000000000000004">
      <c r="A149" s="62" t="s">
        <v>1041</v>
      </c>
      <c r="B149" s="62" t="s">
        <v>1042</v>
      </c>
      <c r="C149" s="62" t="s">
        <v>512</v>
      </c>
      <c r="D149" s="63" t="s">
        <v>1043</v>
      </c>
      <c r="E149" s="63" t="s">
        <v>80</v>
      </c>
      <c r="F149" s="62" t="s">
        <v>638</v>
      </c>
      <c r="G149" s="62" t="s">
        <v>639</v>
      </c>
      <c r="H149" s="62" t="s">
        <v>926</v>
      </c>
      <c r="I149" s="62" t="s">
        <v>927</v>
      </c>
      <c r="J149" s="62" t="s">
        <v>1044</v>
      </c>
      <c r="K149" s="62" t="s">
        <v>23</v>
      </c>
      <c r="L149" s="62" t="s">
        <v>558</v>
      </c>
      <c r="M149" s="62" t="s">
        <v>559</v>
      </c>
    </row>
    <row r="150" spans="1:13" ht="24" x14ac:dyDescent="0.55000000000000004">
      <c r="A150" s="62" t="s">
        <v>1045</v>
      </c>
      <c r="B150" s="62" t="s">
        <v>1046</v>
      </c>
      <c r="C150" s="62" t="s">
        <v>512</v>
      </c>
      <c r="D150" s="63" t="s">
        <v>1047</v>
      </c>
      <c r="E150" s="63" t="s">
        <v>80</v>
      </c>
      <c r="F150" s="62" t="s">
        <v>638</v>
      </c>
      <c r="G150" s="62" t="s">
        <v>639</v>
      </c>
      <c r="H150" s="62" t="s">
        <v>926</v>
      </c>
      <c r="I150" s="62" t="s">
        <v>927</v>
      </c>
      <c r="J150" s="62" t="s">
        <v>1044</v>
      </c>
      <c r="K150" s="62" t="s">
        <v>23</v>
      </c>
      <c r="L150" s="62" t="s">
        <v>482</v>
      </c>
      <c r="M150" s="62" t="s">
        <v>573</v>
      </c>
    </row>
    <row r="151" spans="1:13" ht="24" x14ac:dyDescent="0.55000000000000004">
      <c r="A151" s="62" t="s">
        <v>1048</v>
      </c>
      <c r="B151" s="62" t="s">
        <v>1049</v>
      </c>
      <c r="C151" s="62" t="s">
        <v>512</v>
      </c>
      <c r="D151" s="63" t="s">
        <v>1050</v>
      </c>
      <c r="E151" s="63" t="s">
        <v>80</v>
      </c>
      <c r="F151" s="62" t="s">
        <v>638</v>
      </c>
      <c r="G151" s="62" t="s">
        <v>639</v>
      </c>
      <c r="H151" s="62" t="s">
        <v>926</v>
      </c>
      <c r="I151" s="62" t="s">
        <v>927</v>
      </c>
      <c r="J151" s="62" t="s">
        <v>1044</v>
      </c>
      <c r="K151" s="62" t="s">
        <v>23</v>
      </c>
      <c r="L151" s="62" t="s">
        <v>558</v>
      </c>
      <c r="M151" s="62" t="s">
        <v>559</v>
      </c>
    </row>
    <row r="152" spans="1:13" ht="24" x14ac:dyDescent="0.55000000000000004">
      <c r="A152" s="62" t="s">
        <v>1051</v>
      </c>
      <c r="B152" s="62" t="s">
        <v>1052</v>
      </c>
      <c r="C152" s="62" t="s">
        <v>512</v>
      </c>
      <c r="D152" s="63" t="s">
        <v>1053</v>
      </c>
      <c r="E152" s="63" t="s">
        <v>80</v>
      </c>
      <c r="F152" s="62" t="s">
        <v>638</v>
      </c>
      <c r="G152" s="62" t="s">
        <v>639</v>
      </c>
      <c r="H152" s="62" t="s">
        <v>926</v>
      </c>
      <c r="I152" s="62" t="s">
        <v>927</v>
      </c>
      <c r="J152" s="62" t="s">
        <v>1044</v>
      </c>
      <c r="K152" s="62" t="s">
        <v>23</v>
      </c>
      <c r="L152" s="62" t="s">
        <v>534</v>
      </c>
      <c r="M152" s="62" t="s">
        <v>535</v>
      </c>
    </row>
    <row r="153" spans="1:13" ht="24" x14ac:dyDescent="0.55000000000000004">
      <c r="A153" s="62" t="s">
        <v>1054</v>
      </c>
      <c r="B153" s="62" t="s">
        <v>1055</v>
      </c>
      <c r="C153" s="62" t="s">
        <v>512</v>
      </c>
      <c r="D153" s="63" t="s">
        <v>1056</v>
      </c>
      <c r="E153" s="63" t="s">
        <v>80</v>
      </c>
      <c r="F153" s="62" t="s">
        <v>638</v>
      </c>
      <c r="G153" s="62" t="s">
        <v>639</v>
      </c>
      <c r="H153" s="62" t="s">
        <v>926</v>
      </c>
      <c r="I153" s="62" t="s">
        <v>927</v>
      </c>
      <c r="J153" s="62" t="s">
        <v>1044</v>
      </c>
      <c r="K153" s="62" t="s">
        <v>23</v>
      </c>
      <c r="L153" s="62" t="s">
        <v>482</v>
      </c>
      <c r="M153" s="62" t="s">
        <v>573</v>
      </c>
    </row>
    <row r="154" spans="1:13" ht="24" x14ac:dyDescent="0.55000000000000004">
      <c r="A154" s="62" t="s">
        <v>1057</v>
      </c>
      <c r="B154" s="62" t="s">
        <v>1058</v>
      </c>
      <c r="C154" s="62" t="s">
        <v>512</v>
      </c>
      <c r="D154" s="63" t="s">
        <v>1059</v>
      </c>
      <c r="E154" s="63" t="s">
        <v>80</v>
      </c>
      <c r="F154" s="62" t="s">
        <v>638</v>
      </c>
      <c r="G154" s="62" t="s">
        <v>639</v>
      </c>
      <c r="H154" s="62" t="s">
        <v>926</v>
      </c>
      <c r="I154" s="62" t="s">
        <v>927</v>
      </c>
      <c r="J154" s="62" t="s">
        <v>1044</v>
      </c>
      <c r="K154" s="62" t="s">
        <v>23</v>
      </c>
      <c r="L154" s="62" t="s">
        <v>482</v>
      </c>
      <c r="M154" s="62" t="s">
        <v>573</v>
      </c>
    </row>
    <row r="155" spans="1:13" ht="24" x14ac:dyDescent="0.55000000000000004">
      <c r="A155" s="62" t="s">
        <v>1060</v>
      </c>
      <c r="B155" s="62" t="s">
        <v>1061</v>
      </c>
      <c r="C155" s="62" t="s">
        <v>512</v>
      </c>
      <c r="D155" s="63" t="s">
        <v>1062</v>
      </c>
      <c r="E155" s="63" t="s">
        <v>80</v>
      </c>
      <c r="F155" s="62" t="s">
        <v>638</v>
      </c>
      <c r="G155" s="62" t="s">
        <v>639</v>
      </c>
      <c r="H155" s="62" t="s">
        <v>926</v>
      </c>
      <c r="I155" s="62" t="s">
        <v>927</v>
      </c>
      <c r="J155" s="62" t="s">
        <v>1044</v>
      </c>
      <c r="K155" s="62" t="s">
        <v>23</v>
      </c>
      <c r="L155" s="62" t="s">
        <v>482</v>
      </c>
      <c r="M155" s="62" t="s">
        <v>573</v>
      </c>
    </row>
    <row r="156" spans="1:13" ht="24" x14ac:dyDescent="0.55000000000000004">
      <c r="A156" s="62" t="s">
        <v>1063</v>
      </c>
      <c r="B156" s="62" t="s">
        <v>1064</v>
      </c>
      <c r="C156" s="62" t="s">
        <v>512</v>
      </c>
      <c r="D156" s="63" t="s">
        <v>1065</v>
      </c>
      <c r="E156" s="63" t="s">
        <v>80</v>
      </c>
      <c r="F156" s="62" t="s">
        <v>638</v>
      </c>
      <c r="G156" s="62" t="s">
        <v>639</v>
      </c>
      <c r="H156" s="62" t="s">
        <v>926</v>
      </c>
      <c r="I156" s="62" t="s">
        <v>927</v>
      </c>
      <c r="J156" s="62" t="s">
        <v>1044</v>
      </c>
      <c r="K156" s="62" t="s">
        <v>23</v>
      </c>
      <c r="L156" s="62" t="s">
        <v>482</v>
      </c>
      <c r="M156" s="62" t="s">
        <v>573</v>
      </c>
    </row>
    <row r="157" spans="1:13" ht="24" x14ac:dyDescent="0.55000000000000004">
      <c r="A157" s="62" t="s">
        <v>1066</v>
      </c>
      <c r="B157" s="62" t="s">
        <v>1067</v>
      </c>
      <c r="C157" s="62" t="s">
        <v>512</v>
      </c>
      <c r="D157" s="63" t="s">
        <v>1068</v>
      </c>
      <c r="E157" s="63" t="s">
        <v>80</v>
      </c>
      <c r="F157" s="62" t="s">
        <v>638</v>
      </c>
      <c r="G157" s="62" t="s">
        <v>639</v>
      </c>
      <c r="H157" s="62" t="s">
        <v>926</v>
      </c>
      <c r="I157" s="62" t="s">
        <v>927</v>
      </c>
      <c r="J157" s="62" t="s">
        <v>1044</v>
      </c>
      <c r="K157" s="62" t="s">
        <v>23</v>
      </c>
      <c r="L157" s="62" t="s">
        <v>482</v>
      </c>
      <c r="M157" s="62" t="s">
        <v>573</v>
      </c>
    </row>
    <row r="158" spans="1:13" ht="24" x14ac:dyDescent="0.55000000000000004">
      <c r="A158" s="62" t="s">
        <v>1069</v>
      </c>
      <c r="B158" s="62" t="s">
        <v>1070</v>
      </c>
      <c r="C158" s="62" t="s">
        <v>512</v>
      </c>
      <c r="D158" s="63" t="s">
        <v>1071</v>
      </c>
      <c r="E158" s="63" t="s">
        <v>80</v>
      </c>
      <c r="F158" s="62" t="s">
        <v>638</v>
      </c>
      <c r="G158" s="62" t="s">
        <v>639</v>
      </c>
      <c r="H158" s="62" t="s">
        <v>926</v>
      </c>
      <c r="I158" s="62" t="s">
        <v>927</v>
      </c>
      <c r="J158" s="62" t="s">
        <v>1044</v>
      </c>
      <c r="K158" s="62" t="s">
        <v>23</v>
      </c>
      <c r="L158" s="62" t="s">
        <v>482</v>
      </c>
      <c r="M158" s="62" t="s">
        <v>573</v>
      </c>
    </row>
    <row r="159" spans="1:13" ht="24" x14ac:dyDescent="0.55000000000000004">
      <c r="A159" s="62" t="s">
        <v>1072</v>
      </c>
      <c r="B159" s="62" t="s">
        <v>1073</v>
      </c>
      <c r="C159" s="62" t="s">
        <v>512</v>
      </c>
      <c r="D159" s="63" t="s">
        <v>1074</v>
      </c>
      <c r="E159" s="63" t="s">
        <v>80</v>
      </c>
      <c r="F159" s="62" t="s">
        <v>638</v>
      </c>
      <c r="G159" s="62" t="s">
        <v>639</v>
      </c>
      <c r="H159" s="62" t="s">
        <v>926</v>
      </c>
      <c r="I159" s="62" t="s">
        <v>927</v>
      </c>
      <c r="J159" s="62" t="s">
        <v>1044</v>
      </c>
      <c r="K159" s="62" t="s">
        <v>23</v>
      </c>
      <c r="L159" s="62" t="s">
        <v>482</v>
      </c>
      <c r="M159" s="62" t="s">
        <v>573</v>
      </c>
    </row>
    <row r="160" spans="1:13" ht="24" x14ac:dyDescent="0.55000000000000004">
      <c r="A160" s="62" t="s">
        <v>1075</v>
      </c>
      <c r="B160" s="62" t="s">
        <v>1076</v>
      </c>
      <c r="C160" s="62" t="s">
        <v>512</v>
      </c>
      <c r="D160" s="63" t="s">
        <v>1077</v>
      </c>
      <c r="E160" s="63" t="s">
        <v>80</v>
      </c>
      <c r="F160" s="62" t="s">
        <v>638</v>
      </c>
      <c r="G160" s="62" t="s">
        <v>639</v>
      </c>
      <c r="H160" s="62" t="s">
        <v>926</v>
      </c>
      <c r="I160" s="62" t="s">
        <v>927</v>
      </c>
      <c r="J160" s="62" t="s">
        <v>1044</v>
      </c>
      <c r="K160" s="62" t="s">
        <v>23</v>
      </c>
      <c r="L160" s="62" t="s">
        <v>482</v>
      </c>
      <c r="M160" s="62" t="s">
        <v>573</v>
      </c>
    </row>
    <row r="161" spans="1:13" ht="24" x14ac:dyDescent="0.55000000000000004">
      <c r="A161" s="62" t="s">
        <v>1078</v>
      </c>
      <c r="B161" s="62" t="s">
        <v>1079</v>
      </c>
      <c r="C161" s="62" t="s">
        <v>512</v>
      </c>
      <c r="D161" s="63" t="s">
        <v>1080</v>
      </c>
      <c r="E161" s="63" t="s">
        <v>80</v>
      </c>
      <c r="F161" s="62" t="s">
        <v>638</v>
      </c>
      <c r="G161" s="62" t="s">
        <v>639</v>
      </c>
      <c r="H161" s="62" t="s">
        <v>926</v>
      </c>
      <c r="I161" s="62" t="s">
        <v>927</v>
      </c>
      <c r="J161" s="62" t="s">
        <v>1044</v>
      </c>
      <c r="K161" s="62" t="s">
        <v>23</v>
      </c>
      <c r="L161" s="62" t="s">
        <v>482</v>
      </c>
      <c r="M161" s="62" t="s">
        <v>573</v>
      </c>
    </row>
    <row r="162" spans="1:13" ht="24" x14ac:dyDescent="0.55000000000000004">
      <c r="A162" s="62" t="s">
        <v>1081</v>
      </c>
      <c r="B162" s="62" t="s">
        <v>1082</v>
      </c>
      <c r="C162" s="62" t="s">
        <v>512</v>
      </c>
      <c r="D162" s="63" t="s">
        <v>1083</v>
      </c>
      <c r="E162" s="63" t="s">
        <v>80</v>
      </c>
      <c r="F162" s="62" t="s">
        <v>638</v>
      </c>
      <c r="G162" s="62" t="s">
        <v>639</v>
      </c>
      <c r="H162" s="62" t="s">
        <v>926</v>
      </c>
      <c r="I162" s="62" t="s">
        <v>927</v>
      </c>
      <c r="J162" s="62" t="s">
        <v>1044</v>
      </c>
      <c r="K162" s="62" t="s">
        <v>23</v>
      </c>
      <c r="L162" s="62" t="s">
        <v>482</v>
      </c>
      <c r="M162" s="62" t="s">
        <v>573</v>
      </c>
    </row>
    <row r="163" spans="1:13" ht="24" x14ac:dyDescent="0.55000000000000004">
      <c r="A163" s="62" t="s">
        <v>1084</v>
      </c>
      <c r="B163" s="62" t="s">
        <v>1085</v>
      </c>
      <c r="C163" s="62" t="s">
        <v>512</v>
      </c>
      <c r="D163" s="63" t="s">
        <v>1086</v>
      </c>
      <c r="E163" s="63" t="s">
        <v>80</v>
      </c>
      <c r="F163" s="62" t="s">
        <v>638</v>
      </c>
      <c r="G163" s="62" t="s">
        <v>639</v>
      </c>
      <c r="H163" s="62" t="s">
        <v>926</v>
      </c>
      <c r="I163" s="62" t="s">
        <v>927</v>
      </c>
      <c r="J163" s="62" t="s">
        <v>1044</v>
      </c>
      <c r="K163" s="62" t="s">
        <v>23</v>
      </c>
      <c r="L163" s="62" t="s">
        <v>482</v>
      </c>
      <c r="M163" s="62" t="s">
        <v>573</v>
      </c>
    </row>
    <row r="164" spans="1:13" ht="24" x14ac:dyDescent="0.55000000000000004">
      <c r="A164" s="62" t="s">
        <v>1087</v>
      </c>
      <c r="B164" s="62" t="s">
        <v>1088</v>
      </c>
      <c r="C164" s="62" t="s">
        <v>512</v>
      </c>
      <c r="D164" s="63" t="s">
        <v>1089</v>
      </c>
      <c r="E164" s="63" t="s">
        <v>80</v>
      </c>
      <c r="F164" s="62" t="s">
        <v>638</v>
      </c>
      <c r="G164" s="62" t="s">
        <v>639</v>
      </c>
      <c r="H164" s="62" t="s">
        <v>926</v>
      </c>
      <c r="I164" s="62" t="s">
        <v>927</v>
      </c>
      <c r="J164" s="62" t="s">
        <v>1044</v>
      </c>
      <c r="K164" s="62" t="s">
        <v>23</v>
      </c>
      <c r="L164" s="62" t="s">
        <v>482</v>
      </c>
      <c r="M164" s="62" t="s">
        <v>573</v>
      </c>
    </row>
    <row r="165" spans="1:13" ht="24" x14ac:dyDescent="0.55000000000000004">
      <c r="A165" s="62" t="s">
        <v>1090</v>
      </c>
      <c r="B165" s="62" t="s">
        <v>1091</v>
      </c>
      <c r="C165" s="62" t="s">
        <v>512</v>
      </c>
      <c r="D165" s="63" t="s">
        <v>1092</v>
      </c>
      <c r="E165" s="63" t="s">
        <v>80</v>
      </c>
      <c r="F165" s="62" t="s">
        <v>638</v>
      </c>
      <c r="G165" s="62" t="s">
        <v>639</v>
      </c>
      <c r="H165" s="62" t="s">
        <v>926</v>
      </c>
      <c r="I165" s="62" t="s">
        <v>927</v>
      </c>
      <c r="J165" s="62" t="s">
        <v>1044</v>
      </c>
      <c r="K165" s="62" t="s">
        <v>23</v>
      </c>
      <c r="L165" s="62" t="s">
        <v>482</v>
      </c>
      <c r="M165" s="62" t="s">
        <v>573</v>
      </c>
    </row>
    <row r="166" spans="1:13" ht="24" x14ac:dyDescent="0.55000000000000004">
      <c r="A166" s="62" t="s">
        <v>1093</v>
      </c>
      <c r="B166" s="62" t="s">
        <v>1094</v>
      </c>
      <c r="C166" s="62" t="s">
        <v>512</v>
      </c>
      <c r="D166" s="63" t="s">
        <v>1095</v>
      </c>
      <c r="E166" s="63" t="s">
        <v>80</v>
      </c>
      <c r="F166" s="62" t="s">
        <v>638</v>
      </c>
      <c r="G166" s="62" t="s">
        <v>639</v>
      </c>
      <c r="H166" s="62" t="s">
        <v>926</v>
      </c>
      <c r="I166" s="62" t="s">
        <v>927</v>
      </c>
      <c r="J166" s="62" t="s">
        <v>1044</v>
      </c>
      <c r="K166" s="62" t="s">
        <v>23</v>
      </c>
      <c r="L166" s="62" t="s">
        <v>482</v>
      </c>
      <c r="M166" s="62" t="s">
        <v>573</v>
      </c>
    </row>
    <row r="167" spans="1:13" ht="24" x14ac:dyDescent="0.55000000000000004">
      <c r="A167" s="62" t="s">
        <v>1096</v>
      </c>
      <c r="B167" s="62" t="s">
        <v>1097</v>
      </c>
      <c r="C167" s="62" t="s">
        <v>512</v>
      </c>
      <c r="D167" s="63" t="s">
        <v>1098</v>
      </c>
      <c r="E167" s="63" t="s">
        <v>80</v>
      </c>
      <c r="F167" s="62" t="s">
        <v>638</v>
      </c>
      <c r="G167" s="62" t="s">
        <v>639</v>
      </c>
      <c r="H167" s="62" t="s">
        <v>926</v>
      </c>
      <c r="I167" s="62" t="s">
        <v>927</v>
      </c>
      <c r="J167" s="62" t="s">
        <v>1044</v>
      </c>
      <c r="K167" s="62" t="s">
        <v>23</v>
      </c>
      <c r="L167" s="62" t="s">
        <v>482</v>
      </c>
      <c r="M167" s="62" t="s">
        <v>573</v>
      </c>
    </row>
    <row r="168" spans="1:13" ht="24" x14ac:dyDescent="0.55000000000000004">
      <c r="A168" s="62" t="s">
        <v>1099</v>
      </c>
      <c r="B168" s="62" t="s">
        <v>1100</v>
      </c>
      <c r="C168" s="62" t="s">
        <v>521</v>
      </c>
      <c r="D168" s="63" t="s">
        <v>1101</v>
      </c>
      <c r="E168" s="63" t="s">
        <v>1102</v>
      </c>
      <c r="F168" s="62" t="s">
        <v>638</v>
      </c>
      <c r="G168" s="62" t="s">
        <v>639</v>
      </c>
      <c r="H168" s="62" t="s">
        <v>1103</v>
      </c>
      <c r="I168" s="62" t="s">
        <v>1104</v>
      </c>
      <c r="J168" s="62"/>
      <c r="K168" s="62"/>
      <c r="L168" s="62" t="s">
        <v>528</v>
      </c>
      <c r="M168" s="62" t="s">
        <v>529</v>
      </c>
    </row>
    <row r="169" spans="1:13" ht="24" x14ac:dyDescent="0.55000000000000004">
      <c r="A169" s="62" t="s">
        <v>1105</v>
      </c>
      <c r="B169" s="62" t="s">
        <v>1106</v>
      </c>
      <c r="C169" s="62" t="s">
        <v>512</v>
      </c>
      <c r="D169" s="63" t="s">
        <v>939</v>
      </c>
      <c r="E169" s="63" t="s">
        <v>80</v>
      </c>
      <c r="F169" s="62" t="s">
        <v>638</v>
      </c>
      <c r="G169" s="62" t="s">
        <v>639</v>
      </c>
      <c r="H169" s="62" t="s">
        <v>1103</v>
      </c>
      <c r="I169" s="62" t="s">
        <v>1104</v>
      </c>
      <c r="J169" s="62" t="s">
        <v>1107</v>
      </c>
      <c r="K169" s="62" t="s">
        <v>85</v>
      </c>
      <c r="L169" s="62" t="s">
        <v>482</v>
      </c>
      <c r="M169" s="62" t="s">
        <v>573</v>
      </c>
    </row>
    <row r="170" spans="1:13" ht="24" x14ac:dyDescent="0.55000000000000004">
      <c r="A170" s="62" t="s">
        <v>1108</v>
      </c>
      <c r="B170" s="62" t="s">
        <v>1109</v>
      </c>
      <c r="C170" s="62" t="s">
        <v>512</v>
      </c>
      <c r="D170" s="63" t="s">
        <v>1110</v>
      </c>
      <c r="E170" s="63" t="s">
        <v>80</v>
      </c>
      <c r="F170" s="62" t="s">
        <v>638</v>
      </c>
      <c r="G170" s="62" t="s">
        <v>639</v>
      </c>
      <c r="H170" s="62" t="s">
        <v>1103</v>
      </c>
      <c r="I170" s="62" t="s">
        <v>1104</v>
      </c>
      <c r="J170" s="62" t="s">
        <v>1107</v>
      </c>
      <c r="K170" s="62" t="s">
        <v>85</v>
      </c>
      <c r="L170" s="62" t="s">
        <v>482</v>
      </c>
      <c r="M170" s="62" t="s">
        <v>573</v>
      </c>
    </row>
    <row r="171" spans="1:13" ht="24" x14ac:dyDescent="0.55000000000000004">
      <c r="A171" s="62" t="s">
        <v>1111</v>
      </c>
      <c r="B171" s="62" t="s">
        <v>1112</v>
      </c>
      <c r="C171" s="62" t="s">
        <v>512</v>
      </c>
      <c r="D171" s="63" t="s">
        <v>1113</v>
      </c>
      <c r="E171" s="63" t="s">
        <v>1114</v>
      </c>
      <c r="F171" s="62" t="s">
        <v>638</v>
      </c>
      <c r="G171" s="62" t="s">
        <v>639</v>
      </c>
      <c r="H171" s="62" t="s">
        <v>1103</v>
      </c>
      <c r="I171" s="62" t="s">
        <v>1104</v>
      </c>
      <c r="J171" s="62" t="s">
        <v>1107</v>
      </c>
      <c r="K171" s="62" t="s">
        <v>85</v>
      </c>
      <c r="L171" s="62" t="s">
        <v>482</v>
      </c>
      <c r="M171" s="62" t="s">
        <v>573</v>
      </c>
    </row>
    <row r="172" spans="1:13" ht="24" x14ac:dyDescent="0.55000000000000004">
      <c r="A172" s="62" t="s">
        <v>1115</v>
      </c>
      <c r="B172" s="62" t="s">
        <v>1116</v>
      </c>
      <c r="C172" s="62" t="s">
        <v>512</v>
      </c>
      <c r="D172" s="63" t="s">
        <v>1117</v>
      </c>
      <c r="E172" s="63" t="s">
        <v>80</v>
      </c>
      <c r="F172" s="62" t="s">
        <v>638</v>
      </c>
      <c r="G172" s="62" t="s">
        <v>639</v>
      </c>
      <c r="H172" s="62" t="s">
        <v>1103</v>
      </c>
      <c r="I172" s="62" t="s">
        <v>1104</v>
      </c>
      <c r="J172" s="62" t="s">
        <v>1107</v>
      </c>
      <c r="K172" s="62" t="s">
        <v>85</v>
      </c>
      <c r="L172" s="62" t="s">
        <v>482</v>
      </c>
      <c r="M172" s="62" t="s">
        <v>573</v>
      </c>
    </row>
    <row r="173" spans="1:13" ht="24" x14ac:dyDescent="0.55000000000000004">
      <c r="A173" s="62" t="s">
        <v>1118</v>
      </c>
      <c r="B173" s="62" t="s">
        <v>1119</v>
      </c>
      <c r="C173" s="62" t="s">
        <v>512</v>
      </c>
      <c r="D173" s="63" t="s">
        <v>1120</v>
      </c>
      <c r="E173" s="63" t="s">
        <v>80</v>
      </c>
      <c r="F173" s="62" t="s">
        <v>638</v>
      </c>
      <c r="G173" s="62" t="s">
        <v>639</v>
      </c>
      <c r="H173" s="62" t="s">
        <v>1103</v>
      </c>
      <c r="I173" s="62" t="s">
        <v>1104</v>
      </c>
      <c r="J173" s="62" t="s">
        <v>1107</v>
      </c>
      <c r="K173" s="62" t="s">
        <v>85</v>
      </c>
      <c r="L173" s="62" t="s">
        <v>482</v>
      </c>
      <c r="M173" s="62" t="s">
        <v>573</v>
      </c>
    </row>
    <row r="174" spans="1:13" ht="24" x14ac:dyDescent="0.55000000000000004">
      <c r="A174" s="62" t="s">
        <v>1121</v>
      </c>
      <c r="B174" s="62" t="s">
        <v>1122</v>
      </c>
      <c r="C174" s="62" t="s">
        <v>685</v>
      </c>
      <c r="D174" s="63" t="s">
        <v>1123</v>
      </c>
      <c r="E174" s="63" t="s">
        <v>80</v>
      </c>
      <c r="F174" s="62" t="s">
        <v>638</v>
      </c>
      <c r="G174" s="62" t="s">
        <v>639</v>
      </c>
      <c r="H174" s="62" t="s">
        <v>1103</v>
      </c>
      <c r="I174" s="62" t="s">
        <v>1104</v>
      </c>
      <c r="J174" s="62" t="s">
        <v>1107</v>
      </c>
      <c r="K174" s="62" t="s">
        <v>85</v>
      </c>
      <c r="L174" s="62" t="s">
        <v>558</v>
      </c>
      <c r="M174" s="62" t="s">
        <v>559</v>
      </c>
    </row>
    <row r="175" spans="1:13" ht="24" x14ac:dyDescent="0.55000000000000004">
      <c r="A175" s="62" t="s">
        <v>1124</v>
      </c>
      <c r="B175" s="62" t="s">
        <v>1125</v>
      </c>
      <c r="C175" s="62" t="s">
        <v>512</v>
      </c>
      <c r="D175" s="63" t="s">
        <v>1126</v>
      </c>
      <c r="E175" s="63" t="s">
        <v>80</v>
      </c>
      <c r="F175" s="62" t="s">
        <v>638</v>
      </c>
      <c r="G175" s="62" t="s">
        <v>639</v>
      </c>
      <c r="H175" s="62" t="s">
        <v>1103</v>
      </c>
      <c r="I175" s="62" t="s">
        <v>1104</v>
      </c>
      <c r="J175" s="62" t="s">
        <v>1107</v>
      </c>
      <c r="K175" s="62" t="s">
        <v>85</v>
      </c>
      <c r="L175" s="62" t="s">
        <v>482</v>
      </c>
      <c r="M175" s="62" t="s">
        <v>573</v>
      </c>
    </row>
    <row r="176" spans="1:13" ht="24" x14ac:dyDescent="0.55000000000000004">
      <c r="A176" s="62" t="s">
        <v>1127</v>
      </c>
      <c r="B176" s="62" t="s">
        <v>1128</v>
      </c>
      <c r="C176" s="62" t="s">
        <v>512</v>
      </c>
      <c r="D176" s="63" t="s">
        <v>1129</v>
      </c>
      <c r="E176" s="63" t="s">
        <v>80</v>
      </c>
      <c r="F176" s="62" t="s">
        <v>638</v>
      </c>
      <c r="G176" s="62" t="s">
        <v>639</v>
      </c>
      <c r="H176" s="62" t="s">
        <v>1103</v>
      </c>
      <c r="I176" s="62" t="s">
        <v>1104</v>
      </c>
      <c r="J176" s="62" t="s">
        <v>1107</v>
      </c>
      <c r="K176" s="62" t="s">
        <v>85</v>
      </c>
      <c r="L176" s="62" t="s">
        <v>482</v>
      </c>
      <c r="M176" s="62" t="s">
        <v>573</v>
      </c>
    </row>
    <row r="177" spans="1:13" ht="24" x14ac:dyDescent="0.55000000000000004">
      <c r="A177" s="62" t="s">
        <v>1130</v>
      </c>
      <c r="B177" s="62" t="s">
        <v>1131</v>
      </c>
      <c r="C177" s="62" t="s">
        <v>512</v>
      </c>
      <c r="D177" s="63" t="s">
        <v>1132</v>
      </c>
      <c r="E177" s="63" t="s">
        <v>80</v>
      </c>
      <c r="F177" s="62" t="s">
        <v>638</v>
      </c>
      <c r="G177" s="62" t="s">
        <v>639</v>
      </c>
      <c r="H177" s="62" t="s">
        <v>1103</v>
      </c>
      <c r="I177" s="62" t="s">
        <v>1104</v>
      </c>
      <c r="J177" s="62" t="s">
        <v>1107</v>
      </c>
      <c r="K177" s="62" t="s">
        <v>85</v>
      </c>
      <c r="L177" s="62" t="s">
        <v>482</v>
      </c>
      <c r="M177" s="62" t="s">
        <v>573</v>
      </c>
    </row>
    <row r="178" spans="1:13" ht="24" x14ac:dyDescent="0.55000000000000004">
      <c r="A178" s="62" t="s">
        <v>1133</v>
      </c>
      <c r="B178" s="62" t="s">
        <v>1134</v>
      </c>
      <c r="C178" s="62" t="s">
        <v>521</v>
      </c>
      <c r="D178" s="63" t="s">
        <v>1135</v>
      </c>
      <c r="E178" s="63" t="s">
        <v>80</v>
      </c>
      <c r="F178" s="62" t="s">
        <v>638</v>
      </c>
      <c r="G178" s="62" t="s">
        <v>639</v>
      </c>
      <c r="H178" s="62" t="s">
        <v>1103</v>
      </c>
      <c r="I178" s="62" t="s">
        <v>1104</v>
      </c>
      <c r="J178" s="62" t="s">
        <v>1107</v>
      </c>
      <c r="K178" s="62" t="s">
        <v>85</v>
      </c>
      <c r="L178" s="62" t="s">
        <v>482</v>
      </c>
      <c r="M178" s="62" t="s">
        <v>573</v>
      </c>
    </row>
    <row r="179" spans="1:13" ht="24" x14ac:dyDescent="0.55000000000000004">
      <c r="A179" s="62" t="s">
        <v>1136</v>
      </c>
      <c r="B179" s="62" t="s">
        <v>1137</v>
      </c>
      <c r="C179" s="62" t="s">
        <v>521</v>
      </c>
      <c r="D179" s="63" t="s">
        <v>1138</v>
      </c>
      <c r="E179" s="63" t="s">
        <v>80</v>
      </c>
      <c r="F179" s="62" t="s">
        <v>638</v>
      </c>
      <c r="G179" s="62" t="s">
        <v>639</v>
      </c>
      <c r="H179" s="62" t="s">
        <v>1103</v>
      </c>
      <c r="I179" s="62" t="s">
        <v>1104</v>
      </c>
      <c r="J179" s="62" t="s">
        <v>1107</v>
      </c>
      <c r="K179" s="62" t="s">
        <v>85</v>
      </c>
      <c r="L179" s="62" t="s">
        <v>482</v>
      </c>
      <c r="M179" s="62" t="s">
        <v>573</v>
      </c>
    </row>
    <row r="180" spans="1:13" ht="24" x14ac:dyDescent="0.55000000000000004">
      <c r="A180" s="62" t="s">
        <v>1139</v>
      </c>
      <c r="B180" s="62" t="s">
        <v>1140</v>
      </c>
      <c r="C180" s="62" t="s">
        <v>512</v>
      </c>
      <c r="D180" s="63" t="s">
        <v>1141</v>
      </c>
      <c r="E180" s="63" t="s">
        <v>80</v>
      </c>
      <c r="F180" s="62" t="s">
        <v>638</v>
      </c>
      <c r="G180" s="62" t="s">
        <v>639</v>
      </c>
      <c r="H180" s="62" t="s">
        <v>1103</v>
      </c>
      <c r="I180" s="62" t="s">
        <v>1104</v>
      </c>
      <c r="J180" s="62" t="s">
        <v>1107</v>
      </c>
      <c r="K180" s="62" t="s">
        <v>85</v>
      </c>
      <c r="L180" s="62" t="s">
        <v>482</v>
      </c>
      <c r="M180" s="62" t="s">
        <v>573</v>
      </c>
    </row>
    <row r="181" spans="1:13" ht="24" x14ac:dyDescent="0.55000000000000004">
      <c r="A181" s="62" t="s">
        <v>1142</v>
      </c>
      <c r="B181" s="62" t="s">
        <v>1143</v>
      </c>
      <c r="C181" s="62" t="s">
        <v>512</v>
      </c>
      <c r="D181" s="63" t="s">
        <v>1144</v>
      </c>
      <c r="E181" s="63" t="s">
        <v>80</v>
      </c>
      <c r="F181" s="62" t="s">
        <v>638</v>
      </c>
      <c r="G181" s="62" t="s">
        <v>639</v>
      </c>
      <c r="H181" s="62" t="s">
        <v>1103</v>
      </c>
      <c r="I181" s="62" t="s">
        <v>1104</v>
      </c>
      <c r="J181" s="62" t="s">
        <v>1107</v>
      </c>
      <c r="K181" s="62" t="s">
        <v>85</v>
      </c>
      <c r="L181" s="62" t="s">
        <v>482</v>
      </c>
      <c r="M181" s="62" t="s">
        <v>573</v>
      </c>
    </row>
    <row r="182" spans="1:13" ht="24" x14ac:dyDescent="0.55000000000000004">
      <c r="A182" s="62" t="s">
        <v>1145</v>
      </c>
      <c r="B182" s="62" t="s">
        <v>1146</v>
      </c>
      <c r="C182" s="62" t="s">
        <v>512</v>
      </c>
      <c r="D182" s="63" t="s">
        <v>1147</v>
      </c>
      <c r="E182" s="63" t="s">
        <v>80</v>
      </c>
      <c r="F182" s="62" t="s">
        <v>638</v>
      </c>
      <c r="G182" s="62" t="s">
        <v>639</v>
      </c>
      <c r="H182" s="62" t="s">
        <v>1103</v>
      </c>
      <c r="I182" s="62" t="s">
        <v>1104</v>
      </c>
      <c r="J182" s="62" t="s">
        <v>1107</v>
      </c>
      <c r="K182" s="62" t="s">
        <v>85</v>
      </c>
      <c r="L182" s="62" t="s">
        <v>482</v>
      </c>
      <c r="M182" s="62" t="s">
        <v>573</v>
      </c>
    </row>
    <row r="183" spans="1:13" ht="24" x14ac:dyDescent="0.55000000000000004">
      <c r="A183" s="62" t="s">
        <v>1148</v>
      </c>
      <c r="B183" s="62" t="s">
        <v>1149</v>
      </c>
      <c r="C183" s="62" t="s">
        <v>512</v>
      </c>
      <c r="D183" s="63" t="s">
        <v>1150</v>
      </c>
      <c r="E183" s="63" t="s">
        <v>80</v>
      </c>
      <c r="F183" s="62" t="s">
        <v>638</v>
      </c>
      <c r="G183" s="62" t="s">
        <v>639</v>
      </c>
      <c r="H183" s="62" t="s">
        <v>1103</v>
      </c>
      <c r="I183" s="62" t="s">
        <v>1104</v>
      </c>
      <c r="J183" s="62" t="s">
        <v>1107</v>
      </c>
      <c r="K183" s="62" t="s">
        <v>85</v>
      </c>
      <c r="L183" s="62" t="s">
        <v>482</v>
      </c>
      <c r="M183" s="62" t="s">
        <v>573</v>
      </c>
    </row>
    <row r="184" spans="1:13" ht="24" x14ac:dyDescent="0.55000000000000004">
      <c r="A184" s="62" t="s">
        <v>1151</v>
      </c>
      <c r="B184" s="62" t="s">
        <v>1152</v>
      </c>
      <c r="C184" s="62" t="s">
        <v>512</v>
      </c>
      <c r="D184" s="63" t="s">
        <v>1153</v>
      </c>
      <c r="E184" s="63" t="s">
        <v>80</v>
      </c>
      <c r="F184" s="62" t="s">
        <v>638</v>
      </c>
      <c r="G184" s="62" t="s">
        <v>639</v>
      </c>
      <c r="H184" s="62" t="s">
        <v>1103</v>
      </c>
      <c r="I184" s="62" t="s">
        <v>1104</v>
      </c>
      <c r="J184" s="62" t="s">
        <v>1107</v>
      </c>
      <c r="K184" s="62" t="s">
        <v>85</v>
      </c>
      <c r="L184" s="62" t="s">
        <v>482</v>
      </c>
      <c r="M184" s="62" t="s">
        <v>573</v>
      </c>
    </row>
    <row r="185" spans="1:13" ht="24" x14ac:dyDescent="0.55000000000000004">
      <c r="A185" s="62" t="s">
        <v>1154</v>
      </c>
      <c r="B185" s="62" t="s">
        <v>1155</v>
      </c>
      <c r="C185" s="62" t="s">
        <v>521</v>
      </c>
      <c r="D185" s="63" t="s">
        <v>1156</v>
      </c>
      <c r="E185" s="63" t="s">
        <v>80</v>
      </c>
      <c r="F185" s="62" t="s">
        <v>638</v>
      </c>
      <c r="G185" s="62" t="s">
        <v>639</v>
      </c>
      <c r="H185" s="62" t="s">
        <v>1103</v>
      </c>
      <c r="I185" s="62" t="s">
        <v>1104</v>
      </c>
      <c r="J185" s="62" t="s">
        <v>1107</v>
      </c>
      <c r="K185" s="62" t="s">
        <v>85</v>
      </c>
      <c r="L185" s="62" t="s">
        <v>482</v>
      </c>
      <c r="M185" s="62" t="s">
        <v>573</v>
      </c>
    </row>
    <row r="186" spans="1:13" ht="24" x14ac:dyDescent="0.55000000000000004">
      <c r="A186" s="62" t="s">
        <v>1157</v>
      </c>
      <c r="B186" s="62" t="s">
        <v>1158</v>
      </c>
      <c r="C186" s="62" t="s">
        <v>512</v>
      </c>
      <c r="D186" s="63" t="s">
        <v>1159</v>
      </c>
      <c r="E186" s="63" t="s">
        <v>1160</v>
      </c>
      <c r="F186" s="62" t="s">
        <v>638</v>
      </c>
      <c r="G186" s="62" t="s">
        <v>639</v>
      </c>
      <c r="H186" s="62" t="s">
        <v>1103</v>
      </c>
      <c r="I186" s="62" t="s">
        <v>1104</v>
      </c>
      <c r="J186" s="62" t="s">
        <v>1161</v>
      </c>
      <c r="K186" s="62" t="s">
        <v>171</v>
      </c>
      <c r="L186" s="62" t="s">
        <v>482</v>
      </c>
      <c r="M186" s="62" t="s">
        <v>573</v>
      </c>
    </row>
    <row r="187" spans="1:13" ht="24" x14ac:dyDescent="0.55000000000000004">
      <c r="A187" s="62" t="s">
        <v>1162</v>
      </c>
      <c r="B187" s="62" t="s">
        <v>1163</v>
      </c>
      <c r="C187" s="62" t="s">
        <v>521</v>
      </c>
      <c r="D187" s="63" t="s">
        <v>1164</v>
      </c>
      <c r="E187" s="63" t="s">
        <v>1165</v>
      </c>
      <c r="F187" s="62" t="s">
        <v>638</v>
      </c>
      <c r="G187" s="62" t="s">
        <v>639</v>
      </c>
      <c r="H187" s="62" t="s">
        <v>1103</v>
      </c>
      <c r="I187" s="62" t="s">
        <v>1104</v>
      </c>
      <c r="J187" s="62" t="s">
        <v>1161</v>
      </c>
      <c r="K187" s="62" t="s">
        <v>171</v>
      </c>
      <c r="L187" s="62" t="s">
        <v>482</v>
      </c>
      <c r="M187" s="62" t="s">
        <v>573</v>
      </c>
    </row>
    <row r="188" spans="1:13" ht="24" x14ac:dyDescent="0.55000000000000004">
      <c r="A188" s="62" t="s">
        <v>1166</v>
      </c>
      <c r="B188" s="62" t="s">
        <v>1167</v>
      </c>
      <c r="C188" s="62" t="s">
        <v>521</v>
      </c>
      <c r="D188" s="63" t="s">
        <v>1168</v>
      </c>
      <c r="E188" s="63" t="s">
        <v>1169</v>
      </c>
      <c r="F188" s="62" t="s">
        <v>638</v>
      </c>
      <c r="G188" s="62" t="s">
        <v>639</v>
      </c>
      <c r="H188" s="62" t="s">
        <v>1103</v>
      </c>
      <c r="I188" s="62" t="s">
        <v>1104</v>
      </c>
      <c r="J188" s="62" t="s">
        <v>1161</v>
      </c>
      <c r="K188" s="62" t="s">
        <v>171</v>
      </c>
      <c r="L188" s="62" t="s">
        <v>558</v>
      </c>
      <c r="M188" s="62" t="s">
        <v>559</v>
      </c>
    </row>
    <row r="189" spans="1:13" ht="24" x14ac:dyDescent="0.55000000000000004">
      <c r="A189" s="62" t="s">
        <v>1170</v>
      </c>
      <c r="B189" s="62" t="s">
        <v>1171</v>
      </c>
      <c r="C189" s="62" t="s">
        <v>521</v>
      </c>
      <c r="D189" s="63" t="s">
        <v>1172</v>
      </c>
      <c r="E189" s="63" t="s">
        <v>1173</v>
      </c>
      <c r="F189" s="62" t="s">
        <v>638</v>
      </c>
      <c r="G189" s="62" t="s">
        <v>639</v>
      </c>
      <c r="H189" s="62" t="s">
        <v>1103</v>
      </c>
      <c r="I189" s="62" t="s">
        <v>1104</v>
      </c>
      <c r="J189" s="62" t="s">
        <v>1161</v>
      </c>
      <c r="K189" s="62" t="s">
        <v>171</v>
      </c>
      <c r="L189" s="62" t="s">
        <v>482</v>
      </c>
      <c r="M189" s="62" t="s">
        <v>573</v>
      </c>
    </row>
    <row r="190" spans="1:13" ht="24" x14ac:dyDescent="0.55000000000000004">
      <c r="A190" s="62" t="s">
        <v>1174</v>
      </c>
      <c r="B190" s="62" t="s">
        <v>1175</v>
      </c>
      <c r="C190" s="62" t="s">
        <v>521</v>
      </c>
      <c r="D190" s="63" t="s">
        <v>1176</v>
      </c>
      <c r="E190" s="63" t="s">
        <v>1177</v>
      </c>
      <c r="F190" s="62" t="s">
        <v>638</v>
      </c>
      <c r="G190" s="62" t="s">
        <v>639</v>
      </c>
      <c r="H190" s="62" t="s">
        <v>1103</v>
      </c>
      <c r="I190" s="62" t="s">
        <v>1104</v>
      </c>
      <c r="J190" s="62" t="s">
        <v>1161</v>
      </c>
      <c r="K190" s="62" t="s">
        <v>171</v>
      </c>
      <c r="L190" s="62" t="s">
        <v>482</v>
      </c>
      <c r="M190" s="62" t="s">
        <v>573</v>
      </c>
    </row>
    <row r="191" spans="1:13" ht="24" x14ac:dyDescent="0.55000000000000004">
      <c r="A191" s="62" t="s">
        <v>1178</v>
      </c>
      <c r="B191" s="62" t="s">
        <v>1179</v>
      </c>
      <c r="C191" s="62" t="s">
        <v>521</v>
      </c>
      <c r="D191" s="63" t="s">
        <v>1180</v>
      </c>
      <c r="E191" s="63" t="s">
        <v>1181</v>
      </c>
      <c r="F191" s="62" t="s">
        <v>638</v>
      </c>
      <c r="G191" s="62" t="s">
        <v>639</v>
      </c>
      <c r="H191" s="62" t="s">
        <v>1103</v>
      </c>
      <c r="I191" s="62" t="s">
        <v>1104</v>
      </c>
      <c r="J191" s="62" t="s">
        <v>1161</v>
      </c>
      <c r="K191" s="62" t="s">
        <v>171</v>
      </c>
      <c r="L191" s="62" t="s">
        <v>482</v>
      </c>
      <c r="M191" s="62" t="s">
        <v>573</v>
      </c>
    </row>
    <row r="192" spans="1:13" ht="24" x14ac:dyDescent="0.55000000000000004">
      <c r="A192" s="62" t="s">
        <v>1182</v>
      </c>
      <c r="B192" s="62" t="s">
        <v>1183</v>
      </c>
      <c r="C192" s="62" t="s">
        <v>512</v>
      </c>
      <c r="D192" s="63" t="s">
        <v>1184</v>
      </c>
      <c r="E192" s="63" t="s">
        <v>80</v>
      </c>
      <c r="F192" s="62" t="s">
        <v>638</v>
      </c>
      <c r="G192" s="62" t="s">
        <v>639</v>
      </c>
      <c r="H192" s="62" t="s">
        <v>1103</v>
      </c>
      <c r="I192" s="62" t="s">
        <v>1104</v>
      </c>
      <c r="J192" s="62" t="s">
        <v>1161</v>
      </c>
      <c r="K192" s="62" t="s">
        <v>171</v>
      </c>
      <c r="L192" s="62" t="s">
        <v>534</v>
      </c>
      <c r="M192" s="62" t="s">
        <v>535</v>
      </c>
    </row>
    <row r="193" spans="1:13" ht="24" x14ac:dyDescent="0.55000000000000004">
      <c r="A193" s="62" t="s">
        <v>1185</v>
      </c>
      <c r="B193" s="62" t="s">
        <v>1186</v>
      </c>
      <c r="C193" s="62" t="s">
        <v>512</v>
      </c>
      <c r="D193" s="63" t="s">
        <v>1187</v>
      </c>
      <c r="E193" s="63" t="s">
        <v>80</v>
      </c>
      <c r="F193" s="62" t="s">
        <v>638</v>
      </c>
      <c r="G193" s="62" t="s">
        <v>639</v>
      </c>
      <c r="H193" s="62" t="s">
        <v>1103</v>
      </c>
      <c r="I193" s="62" t="s">
        <v>1104</v>
      </c>
      <c r="J193" s="62" t="s">
        <v>1161</v>
      </c>
      <c r="K193" s="62" t="s">
        <v>171</v>
      </c>
      <c r="L193" s="62" t="s">
        <v>482</v>
      </c>
      <c r="M193" s="62" t="s">
        <v>573</v>
      </c>
    </row>
    <row r="194" spans="1:13" ht="24" x14ac:dyDescent="0.55000000000000004">
      <c r="A194" s="62" t="s">
        <v>1188</v>
      </c>
      <c r="B194" s="62" t="s">
        <v>1189</v>
      </c>
      <c r="C194" s="62" t="s">
        <v>521</v>
      </c>
      <c r="D194" s="63" t="s">
        <v>1190</v>
      </c>
      <c r="E194" s="63" t="s">
        <v>80</v>
      </c>
      <c r="F194" s="62" t="s">
        <v>638</v>
      </c>
      <c r="G194" s="62" t="s">
        <v>639</v>
      </c>
      <c r="H194" s="62" t="s">
        <v>1103</v>
      </c>
      <c r="I194" s="62" t="s">
        <v>1104</v>
      </c>
      <c r="J194" s="62" t="s">
        <v>1161</v>
      </c>
      <c r="K194" s="62" t="s">
        <v>171</v>
      </c>
      <c r="L194" s="62" t="s">
        <v>482</v>
      </c>
      <c r="M194" s="62" t="s">
        <v>573</v>
      </c>
    </row>
    <row r="195" spans="1:13" ht="24" x14ac:dyDescent="0.55000000000000004">
      <c r="A195" s="62" t="s">
        <v>1191</v>
      </c>
      <c r="B195" s="62" t="s">
        <v>1192</v>
      </c>
      <c r="C195" s="62" t="s">
        <v>512</v>
      </c>
      <c r="D195" s="63" t="s">
        <v>1193</v>
      </c>
      <c r="E195" s="63" t="s">
        <v>80</v>
      </c>
      <c r="F195" s="62" t="s">
        <v>638</v>
      </c>
      <c r="G195" s="62" t="s">
        <v>639</v>
      </c>
      <c r="H195" s="62" t="s">
        <v>1103</v>
      </c>
      <c r="I195" s="62" t="s">
        <v>1104</v>
      </c>
      <c r="J195" s="62" t="s">
        <v>1161</v>
      </c>
      <c r="K195" s="62" t="s">
        <v>171</v>
      </c>
      <c r="L195" s="62" t="s">
        <v>482</v>
      </c>
      <c r="M195" s="62" t="s">
        <v>573</v>
      </c>
    </row>
    <row r="196" spans="1:13" ht="24" x14ac:dyDescent="0.55000000000000004">
      <c r="A196" s="62" t="s">
        <v>1194</v>
      </c>
      <c r="B196" s="62" t="s">
        <v>1195</v>
      </c>
      <c r="C196" s="62" t="s">
        <v>512</v>
      </c>
      <c r="D196" s="63" t="s">
        <v>1196</v>
      </c>
      <c r="E196" s="63" t="s">
        <v>80</v>
      </c>
      <c r="F196" s="62" t="s">
        <v>638</v>
      </c>
      <c r="G196" s="62" t="s">
        <v>639</v>
      </c>
      <c r="H196" s="62" t="s">
        <v>1103</v>
      </c>
      <c r="I196" s="62" t="s">
        <v>1104</v>
      </c>
      <c r="J196" s="62" t="s">
        <v>1161</v>
      </c>
      <c r="K196" s="62" t="s">
        <v>171</v>
      </c>
      <c r="L196" s="62" t="s">
        <v>482</v>
      </c>
      <c r="M196" s="62" t="s">
        <v>573</v>
      </c>
    </row>
    <row r="197" spans="1:13" ht="24" x14ac:dyDescent="0.55000000000000004">
      <c r="A197" s="62" t="s">
        <v>1197</v>
      </c>
      <c r="B197" s="62" t="s">
        <v>1198</v>
      </c>
      <c r="C197" s="62" t="s">
        <v>512</v>
      </c>
      <c r="D197" s="63" t="s">
        <v>1199</v>
      </c>
      <c r="E197" s="63" t="s">
        <v>80</v>
      </c>
      <c r="F197" s="62" t="s">
        <v>638</v>
      </c>
      <c r="G197" s="62" t="s">
        <v>639</v>
      </c>
      <c r="H197" s="62" t="s">
        <v>1103</v>
      </c>
      <c r="I197" s="62" t="s">
        <v>1104</v>
      </c>
      <c r="J197" s="62" t="s">
        <v>1161</v>
      </c>
      <c r="K197" s="62" t="s">
        <v>171</v>
      </c>
      <c r="L197" s="62" t="s">
        <v>482</v>
      </c>
      <c r="M197" s="62" t="s">
        <v>573</v>
      </c>
    </row>
    <row r="198" spans="1:13" ht="24" x14ac:dyDescent="0.55000000000000004">
      <c r="A198" s="62" t="s">
        <v>1200</v>
      </c>
      <c r="B198" s="62" t="s">
        <v>1201</v>
      </c>
      <c r="C198" s="62" t="s">
        <v>521</v>
      </c>
      <c r="D198" s="63" t="s">
        <v>1202</v>
      </c>
      <c r="E198" s="63" t="s">
        <v>80</v>
      </c>
      <c r="F198" s="62" t="s">
        <v>638</v>
      </c>
      <c r="G198" s="62" t="s">
        <v>639</v>
      </c>
      <c r="H198" s="62" t="s">
        <v>1103</v>
      </c>
      <c r="I198" s="62" t="s">
        <v>1104</v>
      </c>
      <c r="J198" s="62" t="s">
        <v>1161</v>
      </c>
      <c r="K198" s="62" t="s">
        <v>171</v>
      </c>
      <c r="L198" s="62" t="s">
        <v>482</v>
      </c>
      <c r="M198" s="62" t="s">
        <v>573</v>
      </c>
    </row>
    <row r="199" spans="1:13" ht="24" x14ac:dyDescent="0.55000000000000004">
      <c r="A199" s="62" t="s">
        <v>1203</v>
      </c>
      <c r="B199" s="62" t="s">
        <v>1204</v>
      </c>
      <c r="C199" s="62" t="s">
        <v>512</v>
      </c>
      <c r="D199" s="63" t="s">
        <v>1205</v>
      </c>
      <c r="E199" s="63" t="s">
        <v>80</v>
      </c>
      <c r="F199" s="62" t="s">
        <v>638</v>
      </c>
      <c r="G199" s="62" t="s">
        <v>639</v>
      </c>
      <c r="H199" s="62" t="s">
        <v>1103</v>
      </c>
      <c r="I199" s="62" t="s">
        <v>1104</v>
      </c>
      <c r="J199" s="62" t="s">
        <v>1161</v>
      </c>
      <c r="K199" s="62" t="s">
        <v>171</v>
      </c>
      <c r="L199" s="62" t="s">
        <v>482</v>
      </c>
      <c r="M199" s="62" t="s">
        <v>573</v>
      </c>
    </row>
    <row r="200" spans="1:13" ht="24" x14ac:dyDescent="0.55000000000000004">
      <c r="A200" s="62" t="s">
        <v>1206</v>
      </c>
      <c r="B200" s="62" t="s">
        <v>1207</v>
      </c>
      <c r="C200" s="62" t="s">
        <v>512</v>
      </c>
      <c r="D200" s="63" t="s">
        <v>1208</v>
      </c>
      <c r="E200" s="63" t="s">
        <v>80</v>
      </c>
      <c r="F200" s="62" t="s">
        <v>638</v>
      </c>
      <c r="G200" s="62" t="s">
        <v>639</v>
      </c>
      <c r="H200" s="62" t="s">
        <v>1103</v>
      </c>
      <c r="I200" s="62" t="s">
        <v>1104</v>
      </c>
      <c r="J200" s="62" t="s">
        <v>1161</v>
      </c>
      <c r="K200" s="62" t="s">
        <v>171</v>
      </c>
      <c r="L200" s="62" t="s">
        <v>482</v>
      </c>
      <c r="M200" s="62" t="s">
        <v>573</v>
      </c>
    </row>
    <row r="201" spans="1:13" ht="24" x14ac:dyDescent="0.55000000000000004">
      <c r="A201" s="62" t="s">
        <v>1209</v>
      </c>
      <c r="B201" s="62" t="s">
        <v>1210</v>
      </c>
      <c r="C201" s="62" t="s">
        <v>512</v>
      </c>
      <c r="D201" s="63" t="s">
        <v>1211</v>
      </c>
      <c r="E201" s="63" t="s">
        <v>80</v>
      </c>
      <c r="F201" s="62" t="s">
        <v>638</v>
      </c>
      <c r="G201" s="62" t="s">
        <v>639</v>
      </c>
      <c r="H201" s="62" t="s">
        <v>1103</v>
      </c>
      <c r="I201" s="62" t="s">
        <v>1104</v>
      </c>
      <c r="J201" s="62" t="s">
        <v>1161</v>
      </c>
      <c r="K201" s="62" t="s">
        <v>171</v>
      </c>
      <c r="L201" s="62" t="s">
        <v>482</v>
      </c>
      <c r="M201" s="62" t="s">
        <v>573</v>
      </c>
    </row>
    <row r="202" spans="1:13" ht="24" x14ac:dyDescent="0.55000000000000004">
      <c r="A202" s="62" t="s">
        <v>1212</v>
      </c>
      <c r="B202" s="62" t="s">
        <v>1213</v>
      </c>
      <c r="C202" s="62" t="s">
        <v>512</v>
      </c>
      <c r="D202" s="63" t="s">
        <v>1214</v>
      </c>
      <c r="E202" s="63" t="s">
        <v>80</v>
      </c>
      <c r="F202" s="62" t="s">
        <v>638</v>
      </c>
      <c r="G202" s="62" t="s">
        <v>639</v>
      </c>
      <c r="H202" s="62" t="s">
        <v>1103</v>
      </c>
      <c r="I202" s="62" t="s">
        <v>1104</v>
      </c>
      <c r="J202" s="62" t="s">
        <v>1161</v>
      </c>
      <c r="K202" s="62" t="s">
        <v>171</v>
      </c>
      <c r="L202" s="62" t="s">
        <v>482</v>
      </c>
      <c r="M202" s="62" t="s">
        <v>573</v>
      </c>
    </row>
    <row r="203" spans="1:13" ht="24" x14ac:dyDescent="0.55000000000000004">
      <c r="A203" s="62" t="s">
        <v>1215</v>
      </c>
      <c r="B203" s="62" t="s">
        <v>1216</v>
      </c>
      <c r="C203" s="62" t="s">
        <v>521</v>
      </c>
      <c r="D203" s="63" t="s">
        <v>1217</v>
      </c>
      <c r="E203" s="63" t="s">
        <v>1218</v>
      </c>
      <c r="F203" s="62" t="s">
        <v>1219</v>
      </c>
      <c r="G203" s="62" t="s">
        <v>1220</v>
      </c>
      <c r="H203" s="62" t="s">
        <v>1221</v>
      </c>
      <c r="I203" s="62" t="s">
        <v>1222</v>
      </c>
      <c r="J203" s="62"/>
      <c r="K203" s="62"/>
      <c r="L203" s="62" t="s">
        <v>482</v>
      </c>
      <c r="M203" s="62" t="s">
        <v>573</v>
      </c>
    </row>
    <row r="204" spans="1:13" ht="24" x14ac:dyDescent="0.55000000000000004">
      <c r="A204" s="62" t="s">
        <v>1223</v>
      </c>
      <c r="B204" s="62" t="s">
        <v>1224</v>
      </c>
      <c r="C204" s="62" t="s">
        <v>512</v>
      </c>
      <c r="D204" s="63" t="s">
        <v>1225</v>
      </c>
      <c r="E204" s="63" t="s">
        <v>1226</v>
      </c>
      <c r="F204" s="62" t="s">
        <v>1219</v>
      </c>
      <c r="G204" s="62" t="s">
        <v>1220</v>
      </c>
      <c r="H204" s="62" t="s">
        <v>1221</v>
      </c>
      <c r="I204" s="62" t="s">
        <v>1222</v>
      </c>
      <c r="J204" s="62"/>
      <c r="K204" s="62"/>
      <c r="L204" s="62" t="s">
        <v>558</v>
      </c>
      <c r="M204" s="62" t="s">
        <v>559</v>
      </c>
    </row>
    <row r="205" spans="1:13" ht="24" x14ac:dyDescent="0.55000000000000004">
      <c r="A205" s="62" t="s">
        <v>1227</v>
      </c>
      <c r="B205" s="62" t="s">
        <v>1228</v>
      </c>
      <c r="C205" s="62" t="s">
        <v>512</v>
      </c>
      <c r="D205" s="63" t="s">
        <v>1229</v>
      </c>
      <c r="E205" s="63" t="s">
        <v>1230</v>
      </c>
      <c r="F205" s="62" t="s">
        <v>1219</v>
      </c>
      <c r="G205" s="62" t="s">
        <v>1220</v>
      </c>
      <c r="H205" s="62" t="s">
        <v>1221</v>
      </c>
      <c r="I205" s="62" t="s">
        <v>1222</v>
      </c>
      <c r="J205" s="62"/>
      <c r="K205" s="62"/>
      <c r="L205" s="62" t="s">
        <v>534</v>
      </c>
      <c r="M205" s="62" t="s">
        <v>535</v>
      </c>
    </row>
    <row r="206" spans="1:13" ht="24" x14ac:dyDescent="0.55000000000000004">
      <c r="A206" s="62" t="s">
        <v>1231</v>
      </c>
      <c r="B206" s="62" t="s">
        <v>1232</v>
      </c>
      <c r="C206" s="62" t="s">
        <v>521</v>
      </c>
      <c r="D206" s="63" t="s">
        <v>1233</v>
      </c>
      <c r="E206" s="63" t="s">
        <v>1234</v>
      </c>
      <c r="F206" s="62" t="s">
        <v>1219</v>
      </c>
      <c r="G206" s="62" t="s">
        <v>1220</v>
      </c>
      <c r="H206" s="62" t="s">
        <v>1221</v>
      </c>
      <c r="I206" s="62" t="s">
        <v>1222</v>
      </c>
      <c r="J206" s="62"/>
      <c r="K206" s="62"/>
      <c r="L206" s="62" t="s">
        <v>482</v>
      </c>
      <c r="M206" s="62" t="s">
        <v>573</v>
      </c>
    </row>
    <row r="207" spans="1:13" ht="24" x14ac:dyDescent="0.55000000000000004">
      <c r="A207" s="62" t="s">
        <v>1235</v>
      </c>
      <c r="B207" s="62" t="s">
        <v>1236</v>
      </c>
      <c r="C207" s="62" t="s">
        <v>521</v>
      </c>
      <c r="D207" s="63" t="s">
        <v>1237</v>
      </c>
      <c r="E207" s="63" t="s">
        <v>1226</v>
      </c>
      <c r="F207" s="62" t="s">
        <v>1219</v>
      </c>
      <c r="G207" s="62" t="s">
        <v>1220</v>
      </c>
      <c r="H207" s="62" t="s">
        <v>1221</v>
      </c>
      <c r="I207" s="62" t="s">
        <v>1222</v>
      </c>
      <c r="J207" s="62"/>
      <c r="K207" s="62"/>
      <c r="L207" s="62" t="s">
        <v>482</v>
      </c>
      <c r="M207" s="62" t="s">
        <v>573</v>
      </c>
    </row>
    <row r="208" spans="1:13" ht="24" x14ac:dyDescent="0.55000000000000004">
      <c r="A208" s="62" t="s">
        <v>1238</v>
      </c>
      <c r="B208" s="62" t="s">
        <v>1239</v>
      </c>
      <c r="C208" s="62" t="s">
        <v>521</v>
      </c>
      <c r="D208" s="63" t="s">
        <v>1240</v>
      </c>
      <c r="E208" s="63" t="s">
        <v>1241</v>
      </c>
      <c r="F208" s="62" t="s">
        <v>1219</v>
      </c>
      <c r="G208" s="62" t="s">
        <v>1220</v>
      </c>
      <c r="H208" s="62" t="s">
        <v>1221</v>
      </c>
      <c r="I208" s="62" t="s">
        <v>1222</v>
      </c>
      <c r="J208" s="62"/>
      <c r="K208" s="62"/>
      <c r="L208" s="62" t="s">
        <v>482</v>
      </c>
      <c r="M208" s="62" t="s">
        <v>573</v>
      </c>
    </row>
    <row r="209" spans="1:13" ht="24" x14ac:dyDescent="0.55000000000000004">
      <c r="A209" s="62" t="s">
        <v>1242</v>
      </c>
      <c r="B209" s="62" t="s">
        <v>1243</v>
      </c>
      <c r="C209" s="62" t="s">
        <v>521</v>
      </c>
      <c r="D209" s="63" t="s">
        <v>1244</v>
      </c>
      <c r="E209" s="63" t="s">
        <v>1245</v>
      </c>
      <c r="F209" s="62" t="s">
        <v>1219</v>
      </c>
      <c r="G209" s="62" t="s">
        <v>1220</v>
      </c>
      <c r="H209" s="62" t="s">
        <v>1221</v>
      </c>
      <c r="I209" s="62" t="s">
        <v>1222</v>
      </c>
      <c r="J209" s="62"/>
      <c r="K209" s="62"/>
      <c r="L209" s="62" t="s">
        <v>482</v>
      </c>
      <c r="M209" s="62" t="s">
        <v>573</v>
      </c>
    </row>
    <row r="210" spans="1:13" ht="24" x14ac:dyDescent="0.55000000000000004">
      <c r="A210" s="62" t="s">
        <v>1246</v>
      </c>
      <c r="B210" s="62" t="s">
        <v>1247</v>
      </c>
      <c r="C210" s="62" t="s">
        <v>521</v>
      </c>
      <c r="D210" s="63" t="s">
        <v>1248</v>
      </c>
      <c r="E210" s="63" t="s">
        <v>1249</v>
      </c>
      <c r="F210" s="62" t="s">
        <v>1219</v>
      </c>
      <c r="G210" s="62" t="s">
        <v>1220</v>
      </c>
      <c r="H210" s="62" t="s">
        <v>1221</v>
      </c>
      <c r="I210" s="62" t="s">
        <v>1222</v>
      </c>
      <c r="J210" s="62"/>
      <c r="K210" s="62"/>
      <c r="L210" s="62" t="s">
        <v>482</v>
      </c>
      <c r="M210" s="62" t="s">
        <v>573</v>
      </c>
    </row>
    <row r="211" spans="1:13" ht="24" x14ac:dyDescent="0.55000000000000004">
      <c r="A211" s="62" t="s">
        <v>1250</v>
      </c>
      <c r="B211" s="62" t="s">
        <v>1251</v>
      </c>
      <c r="C211" s="62" t="s">
        <v>521</v>
      </c>
      <c r="D211" s="63" t="s">
        <v>1252</v>
      </c>
      <c r="E211" s="63" t="s">
        <v>1253</v>
      </c>
      <c r="F211" s="62" t="s">
        <v>1219</v>
      </c>
      <c r="G211" s="62" t="s">
        <v>1220</v>
      </c>
      <c r="H211" s="62" t="s">
        <v>1221</v>
      </c>
      <c r="I211" s="62" t="s">
        <v>1222</v>
      </c>
      <c r="J211" s="62"/>
      <c r="K211" s="62"/>
      <c r="L211" s="62" t="s">
        <v>642</v>
      </c>
      <c r="M211" s="62" t="s">
        <v>643</v>
      </c>
    </row>
    <row r="212" spans="1:13" ht="24" x14ac:dyDescent="0.55000000000000004">
      <c r="A212" s="62" t="s">
        <v>1254</v>
      </c>
      <c r="B212" s="62" t="s">
        <v>1255</v>
      </c>
      <c r="C212" s="62" t="s">
        <v>521</v>
      </c>
      <c r="D212" s="63" t="s">
        <v>1256</v>
      </c>
      <c r="E212" s="63" t="s">
        <v>1257</v>
      </c>
      <c r="F212" s="62" t="s">
        <v>1219</v>
      </c>
      <c r="G212" s="62" t="s">
        <v>1220</v>
      </c>
      <c r="H212" s="62" t="s">
        <v>1221</v>
      </c>
      <c r="I212" s="62" t="s">
        <v>1222</v>
      </c>
      <c r="J212" s="62"/>
      <c r="K212" s="62"/>
      <c r="L212" s="62" t="s">
        <v>534</v>
      </c>
      <c r="M212" s="62" t="s">
        <v>535</v>
      </c>
    </row>
    <row r="213" spans="1:13" ht="24" x14ac:dyDescent="0.55000000000000004">
      <c r="A213" s="62" t="s">
        <v>1258</v>
      </c>
      <c r="B213" s="62" t="s">
        <v>1259</v>
      </c>
      <c r="C213" s="62" t="s">
        <v>512</v>
      </c>
      <c r="D213" s="63" t="s">
        <v>1260</v>
      </c>
      <c r="E213" s="63" t="s">
        <v>1261</v>
      </c>
      <c r="F213" s="62" t="s">
        <v>1219</v>
      </c>
      <c r="G213" s="62" t="s">
        <v>1220</v>
      </c>
      <c r="H213" s="62" t="s">
        <v>1221</v>
      </c>
      <c r="I213" s="62" t="s">
        <v>1222</v>
      </c>
      <c r="J213" s="62"/>
      <c r="K213" s="62"/>
      <c r="L213" s="62" t="s">
        <v>482</v>
      </c>
      <c r="M213" s="62" t="s">
        <v>573</v>
      </c>
    </row>
    <row r="214" spans="1:13" ht="24" x14ac:dyDescent="0.55000000000000004">
      <c r="A214" s="62" t="s">
        <v>1262</v>
      </c>
      <c r="B214" s="62" t="s">
        <v>1263</v>
      </c>
      <c r="C214" s="62" t="s">
        <v>521</v>
      </c>
      <c r="D214" s="63" t="s">
        <v>1264</v>
      </c>
      <c r="E214" s="63" t="s">
        <v>1265</v>
      </c>
      <c r="F214" s="62" t="s">
        <v>1219</v>
      </c>
      <c r="G214" s="62" t="s">
        <v>1220</v>
      </c>
      <c r="H214" s="62" t="s">
        <v>1221</v>
      </c>
      <c r="I214" s="62" t="s">
        <v>1222</v>
      </c>
      <c r="J214" s="62"/>
      <c r="K214" s="62"/>
      <c r="L214" s="62" t="s">
        <v>534</v>
      </c>
      <c r="M214" s="62" t="s">
        <v>535</v>
      </c>
    </row>
    <row r="215" spans="1:13" ht="24" x14ac:dyDescent="0.55000000000000004">
      <c r="A215" s="62" t="s">
        <v>1266</v>
      </c>
      <c r="B215" s="62" t="s">
        <v>1267</v>
      </c>
      <c r="C215" s="62" t="s">
        <v>512</v>
      </c>
      <c r="D215" s="63" t="s">
        <v>1268</v>
      </c>
      <c r="E215" s="63" t="s">
        <v>1269</v>
      </c>
      <c r="F215" s="62" t="s">
        <v>1219</v>
      </c>
      <c r="G215" s="62" t="s">
        <v>1220</v>
      </c>
      <c r="H215" s="62" t="s">
        <v>1221</v>
      </c>
      <c r="I215" s="62" t="s">
        <v>1222</v>
      </c>
      <c r="J215" s="62"/>
      <c r="K215" s="62"/>
      <c r="L215" s="62" t="s">
        <v>528</v>
      </c>
      <c r="M215" s="62" t="s">
        <v>529</v>
      </c>
    </row>
    <row r="216" spans="1:13" ht="24" x14ac:dyDescent="0.55000000000000004">
      <c r="A216" s="62" t="s">
        <v>1270</v>
      </c>
      <c r="B216" s="62" t="s">
        <v>1271</v>
      </c>
      <c r="C216" s="62" t="s">
        <v>512</v>
      </c>
      <c r="D216" s="63" t="s">
        <v>1272</v>
      </c>
      <c r="E216" s="63" t="s">
        <v>1273</v>
      </c>
      <c r="F216" s="62" t="s">
        <v>1219</v>
      </c>
      <c r="G216" s="62" t="s">
        <v>1220</v>
      </c>
      <c r="H216" s="62" t="s">
        <v>1221</v>
      </c>
      <c r="I216" s="62" t="s">
        <v>1222</v>
      </c>
      <c r="J216" s="62"/>
      <c r="K216" s="62"/>
      <c r="L216" s="62" t="s">
        <v>482</v>
      </c>
      <c r="M216" s="62" t="s">
        <v>573</v>
      </c>
    </row>
    <row r="217" spans="1:13" ht="24" x14ac:dyDescent="0.55000000000000004">
      <c r="A217" s="62" t="s">
        <v>1274</v>
      </c>
      <c r="B217" s="62" t="s">
        <v>1275</v>
      </c>
      <c r="C217" s="62" t="s">
        <v>512</v>
      </c>
      <c r="D217" s="63" t="s">
        <v>1276</v>
      </c>
      <c r="E217" s="63" t="s">
        <v>1277</v>
      </c>
      <c r="F217" s="62" t="s">
        <v>1219</v>
      </c>
      <c r="G217" s="62" t="s">
        <v>1220</v>
      </c>
      <c r="H217" s="62" t="s">
        <v>1221</v>
      </c>
      <c r="I217" s="62" t="s">
        <v>1222</v>
      </c>
      <c r="J217" s="62"/>
      <c r="K217" s="62"/>
      <c r="L217" s="62" t="s">
        <v>482</v>
      </c>
      <c r="M217" s="62" t="s">
        <v>573</v>
      </c>
    </row>
    <row r="218" spans="1:13" ht="24" x14ac:dyDescent="0.55000000000000004">
      <c r="A218" s="62" t="s">
        <v>1278</v>
      </c>
      <c r="B218" s="62" t="s">
        <v>1279</v>
      </c>
      <c r="C218" s="62" t="s">
        <v>512</v>
      </c>
      <c r="D218" s="63" t="s">
        <v>1280</v>
      </c>
      <c r="E218" s="63" t="s">
        <v>80</v>
      </c>
      <c r="F218" s="62" t="s">
        <v>1219</v>
      </c>
      <c r="G218" s="62" t="s">
        <v>1220</v>
      </c>
      <c r="H218" s="62" t="s">
        <v>1221</v>
      </c>
      <c r="I218" s="62" t="s">
        <v>1222</v>
      </c>
      <c r="J218" s="62"/>
      <c r="K218" s="62"/>
      <c r="L218" s="62" t="s">
        <v>482</v>
      </c>
      <c r="M218" s="62" t="s">
        <v>573</v>
      </c>
    </row>
    <row r="219" spans="1:13" ht="24" x14ac:dyDescent="0.55000000000000004">
      <c r="A219" s="62" t="s">
        <v>1281</v>
      </c>
      <c r="B219" s="62" t="s">
        <v>1282</v>
      </c>
      <c r="C219" s="62" t="s">
        <v>512</v>
      </c>
      <c r="D219" s="63" t="s">
        <v>1283</v>
      </c>
      <c r="E219" s="63" t="s">
        <v>80</v>
      </c>
      <c r="F219" s="62" t="s">
        <v>1219</v>
      </c>
      <c r="G219" s="62" t="s">
        <v>1220</v>
      </c>
      <c r="H219" s="62" t="s">
        <v>1221</v>
      </c>
      <c r="I219" s="62" t="s">
        <v>1222</v>
      </c>
      <c r="J219" s="62"/>
      <c r="K219" s="62"/>
      <c r="L219" s="62" t="s">
        <v>482</v>
      </c>
      <c r="M219" s="62" t="s">
        <v>573</v>
      </c>
    </row>
    <row r="220" spans="1:13" ht="24" x14ac:dyDescent="0.55000000000000004">
      <c r="A220" s="62" t="s">
        <v>1284</v>
      </c>
      <c r="B220" s="62" t="s">
        <v>1285</v>
      </c>
      <c r="C220" s="62" t="s">
        <v>512</v>
      </c>
      <c r="D220" s="63" t="s">
        <v>1286</v>
      </c>
      <c r="E220" s="63" t="s">
        <v>1287</v>
      </c>
      <c r="F220" s="62" t="s">
        <v>1219</v>
      </c>
      <c r="G220" s="62" t="s">
        <v>1220</v>
      </c>
      <c r="H220" s="62" t="s">
        <v>1221</v>
      </c>
      <c r="I220" s="62" t="s">
        <v>1222</v>
      </c>
      <c r="J220" s="62"/>
      <c r="K220" s="62"/>
      <c r="L220" s="62" t="s">
        <v>482</v>
      </c>
      <c r="M220" s="62" t="s">
        <v>573</v>
      </c>
    </row>
    <row r="221" spans="1:13" ht="24" x14ac:dyDescent="0.55000000000000004">
      <c r="A221" s="62" t="s">
        <v>1288</v>
      </c>
      <c r="B221" s="62" t="s">
        <v>1289</v>
      </c>
      <c r="C221" s="62" t="s">
        <v>512</v>
      </c>
      <c r="D221" s="63" t="s">
        <v>1290</v>
      </c>
      <c r="E221" s="63" t="s">
        <v>1291</v>
      </c>
      <c r="F221" s="62" t="s">
        <v>1219</v>
      </c>
      <c r="G221" s="62" t="s">
        <v>1220</v>
      </c>
      <c r="H221" s="62" t="s">
        <v>1221</v>
      </c>
      <c r="I221" s="62" t="s">
        <v>1222</v>
      </c>
      <c r="J221" s="62"/>
      <c r="K221" s="62"/>
      <c r="L221" s="62" t="s">
        <v>482</v>
      </c>
      <c r="M221" s="62" t="s">
        <v>573</v>
      </c>
    </row>
    <row r="222" spans="1:13" ht="24" x14ac:dyDescent="0.55000000000000004">
      <c r="A222" s="62" t="s">
        <v>1292</v>
      </c>
      <c r="B222" s="62" t="s">
        <v>1293</v>
      </c>
      <c r="C222" s="62" t="s">
        <v>521</v>
      </c>
      <c r="D222" s="63" t="s">
        <v>1294</v>
      </c>
      <c r="E222" s="63" t="s">
        <v>80</v>
      </c>
      <c r="F222" s="62" t="s">
        <v>1219</v>
      </c>
      <c r="G222" s="62" t="s">
        <v>1220</v>
      </c>
      <c r="H222" s="62" t="s">
        <v>1221</v>
      </c>
      <c r="I222" s="62" t="s">
        <v>1222</v>
      </c>
      <c r="J222" s="62"/>
      <c r="K222" s="62"/>
      <c r="L222" s="62" t="s">
        <v>482</v>
      </c>
      <c r="M222" s="62" t="s">
        <v>573</v>
      </c>
    </row>
    <row r="223" spans="1:13" ht="24" x14ac:dyDescent="0.55000000000000004">
      <c r="A223" s="62" t="s">
        <v>1295</v>
      </c>
      <c r="B223" s="62" t="s">
        <v>1296</v>
      </c>
      <c r="C223" s="62" t="s">
        <v>521</v>
      </c>
      <c r="D223" s="63" t="s">
        <v>1297</v>
      </c>
      <c r="E223" s="63" t="s">
        <v>80</v>
      </c>
      <c r="F223" s="62" t="s">
        <v>1219</v>
      </c>
      <c r="G223" s="62" t="s">
        <v>1220</v>
      </c>
      <c r="H223" s="62" t="s">
        <v>1221</v>
      </c>
      <c r="I223" s="62" t="s">
        <v>1222</v>
      </c>
      <c r="J223" s="62"/>
      <c r="K223" s="62"/>
      <c r="L223" s="62" t="s">
        <v>482</v>
      </c>
      <c r="M223" s="62" t="s">
        <v>573</v>
      </c>
    </row>
    <row r="224" spans="1:13" ht="24" x14ac:dyDescent="0.55000000000000004">
      <c r="A224" s="62" t="s">
        <v>1298</v>
      </c>
      <c r="B224" s="62" t="s">
        <v>1299</v>
      </c>
      <c r="C224" s="62" t="s">
        <v>512</v>
      </c>
      <c r="D224" s="63" t="s">
        <v>1300</v>
      </c>
      <c r="E224" s="63" t="s">
        <v>80</v>
      </c>
      <c r="F224" s="62" t="s">
        <v>1219</v>
      </c>
      <c r="G224" s="62" t="s">
        <v>1220</v>
      </c>
      <c r="H224" s="62" t="s">
        <v>1221</v>
      </c>
      <c r="I224" s="62" t="s">
        <v>1222</v>
      </c>
      <c r="J224" s="62"/>
      <c r="K224" s="62"/>
      <c r="L224" s="62" t="s">
        <v>482</v>
      </c>
      <c r="M224" s="62" t="s">
        <v>573</v>
      </c>
    </row>
    <row r="225" spans="1:13" ht="24" x14ac:dyDescent="0.55000000000000004">
      <c r="A225" s="62" t="s">
        <v>1301</v>
      </c>
      <c r="B225" s="62" t="s">
        <v>1302</v>
      </c>
      <c r="C225" s="62" t="s">
        <v>512</v>
      </c>
      <c r="D225" s="63" t="s">
        <v>1303</v>
      </c>
      <c r="E225" s="63" t="s">
        <v>80</v>
      </c>
      <c r="F225" s="62" t="s">
        <v>1219</v>
      </c>
      <c r="G225" s="62" t="s">
        <v>1220</v>
      </c>
      <c r="H225" s="62" t="s">
        <v>1221</v>
      </c>
      <c r="I225" s="62" t="s">
        <v>1222</v>
      </c>
      <c r="J225" s="62"/>
      <c r="K225" s="62"/>
      <c r="L225" s="62" t="s">
        <v>482</v>
      </c>
      <c r="M225" s="62" t="s">
        <v>573</v>
      </c>
    </row>
    <row r="226" spans="1:13" ht="24" x14ac:dyDescent="0.55000000000000004">
      <c r="A226" s="62" t="s">
        <v>1304</v>
      </c>
      <c r="B226" s="62" t="s">
        <v>1305</v>
      </c>
      <c r="C226" s="62" t="s">
        <v>512</v>
      </c>
      <c r="D226" s="63" t="s">
        <v>1306</v>
      </c>
      <c r="E226" s="63" t="s">
        <v>1307</v>
      </c>
      <c r="F226" s="62" t="s">
        <v>1219</v>
      </c>
      <c r="G226" s="62" t="s">
        <v>1220</v>
      </c>
      <c r="H226" s="62" t="s">
        <v>1221</v>
      </c>
      <c r="I226" s="62" t="s">
        <v>1222</v>
      </c>
      <c r="J226" s="62"/>
      <c r="K226" s="62"/>
      <c r="L226" s="62" t="s">
        <v>482</v>
      </c>
      <c r="M226" s="62" t="s">
        <v>573</v>
      </c>
    </row>
    <row r="227" spans="1:13" ht="24" x14ac:dyDescent="0.55000000000000004">
      <c r="A227" s="62" t="s">
        <v>1308</v>
      </c>
      <c r="B227" s="62" t="s">
        <v>1309</v>
      </c>
      <c r="C227" s="62" t="s">
        <v>521</v>
      </c>
      <c r="D227" s="63" t="s">
        <v>1310</v>
      </c>
      <c r="E227" s="63" t="s">
        <v>1311</v>
      </c>
      <c r="F227" s="62" t="s">
        <v>1219</v>
      </c>
      <c r="G227" s="62" t="s">
        <v>1220</v>
      </c>
      <c r="H227" s="62" t="s">
        <v>1312</v>
      </c>
      <c r="I227" s="62" t="s">
        <v>1313</v>
      </c>
      <c r="J227" s="62"/>
      <c r="K227" s="62"/>
      <c r="L227" s="62" t="s">
        <v>482</v>
      </c>
      <c r="M227" s="62" t="s">
        <v>573</v>
      </c>
    </row>
    <row r="228" spans="1:13" ht="24" x14ac:dyDescent="0.55000000000000004">
      <c r="A228" s="62" t="s">
        <v>1314</v>
      </c>
      <c r="B228" s="62" t="s">
        <v>1315</v>
      </c>
      <c r="C228" s="62" t="s">
        <v>521</v>
      </c>
      <c r="D228" s="63" t="s">
        <v>1316</v>
      </c>
      <c r="E228" s="63" t="s">
        <v>1317</v>
      </c>
      <c r="F228" s="62" t="s">
        <v>1219</v>
      </c>
      <c r="G228" s="62" t="s">
        <v>1220</v>
      </c>
      <c r="H228" s="62" t="s">
        <v>1312</v>
      </c>
      <c r="I228" s="62" t="s">
        <v>1313</v>
      </c>
      <c r="J228" s="62"/>
      <c r="K228" s="62"/>
      <c r="L228" s="62" t="s">
        <v>482</v>
      </c>
      <c r="M228" s="62" t="s">
        <v>573</v>
      </c>
    </row>
    <row r="229" spans="1:13" ht="24" x14ac:dyDescent="0.55000000000000004">
      <c r="A229" s="62" t="s">
        <v>1318</v>
      </c>
      <c r="B229" s="62" t="s">
        <v>1319</v>
      </c>
      <c r="C229" s="62" t="s">
        <v>521</v>
      </c>
      <c r="D229" s="63" t="s">
        <v>1320</v>
      </c>
      <c r="E229" s="63" t="s">
        <v>1321</v>
      </c>
      <c r="F229" s="62" t="s">
        <v>1219</v>
      </c>
      <c r="G229" s="62" t="s">
        <v>1220</v>
      </c>
      <c r="H229" s="62" t="s">
        <v>1312</v>
      </c>
      <c r="I229" s="62" t="s">
        <v>1313</v>
      </c>
      <c r="J229" s="62"/>
      <c r="K229" s="62"/>
      <c r="L229" s="62" t="s">
        <v>482</v>
      </c>
      <c r="M229" s="62" t="s">
        <v>573</v>
      </c>
    </row>
    <row r="230" spans="1:13" ht="24" x14ac:dyDescent="0.55000000000000004">
      <c r="A230" s="62" t="s">
        <v>1322</v>
      </c>
      <c r="B230" s="62" t="s">
        <v>1323</v>
      </c>
      <c r="C230" s="62" t="s">
        <v>521</v>
      </c>
      <c r="D230" s="63" t="s">
        <v>1324</v>
      </c>
      <c r="E230" s="63" t="s">
        <v>1325</v>
      </c>
      <c r="F230" s="62" t="s">
        <v>1219</v>
      </c>
      <c r="G230" s="62" t="s">
        <v>1220</v>
      </c>
      <c r="H230" s="62" t="s">
        <v>1312</v>
      </c>
      <c r="I230" s="62" t="s">
        <v>1313</v>
      </c>
      <c r="J230" s="62"/>
      <c r="K230" s="62"/>
      <c r="L230" s="62" t="s">
        <v>482</v>
      </c>
      <c r="M230" s="62" t="s">
        <v>573</v>
      </c>
    </row>
    <row r="231" spans="1:13" ht="24" x14ac:dyDescent="0.55000000000000004">
      <c r="A231" s="62" t="s">
        <v>1326</v>
      </c>
      <c r="B231" s="62" t="s">
        <v>1327</v>
      </c>
      <c r="C231" s="62" t="s">
        <v>521</v>
      </c>
      <c r="D231" s="63" t="s">
        <v>1328</v>
      </c>
      <c r="E231" s="63" t="s">
        <v>1329</v>
      </c>
      <c r="F231" s="62" t="s">
        <v>1219</v>
      </c>
      <c r="G231" s="62" t="s">
        <v>1220</v>
      </c>
      <c r="H231" s="62" t="s">
        <v>1312</v>
      </c>
      <c r="I231" s="62" t="s">
        <v>1313</v>
      </c>
      <c r="J231" s="62"/>
      <c r="K231" s="62"/>
      <c r="L231" s="62" t="s">
        <v>482</v>
      </c>
      <c r="M231" s="62" t="s">
        <v>573</v>
      </c>
    </row>
    <row r="232" spans="1:13" ht="24" x14ac:dyDescent="0.55000000000000004">
      <c r="A232" s="62" t="s">
        <v>1330</v>
      </c>
      <c r="B232" s="62" t="s">
        <v>1331</v>
      </c>
      <c r="C232" s="62" t="s">
        <v>512</v>
      </c>
      <c r="D232" s="63" t="s">
        <v>1332</v>
      </c>
      <c r="E232" s="63" t="s">
        <v>1333</v>
      </c>
      <c r="F232" s="62" t="s">
        <v>1219</v>
      </c>
      <c r="G232" s="62" t="s">
        <v>1220</v>
      </c>
      <c r="H232" s="62" t="s">
        <v>1312</v>
      </c>
      <c r="I232" s="62" t="s">
        <v>1313</v>
      </c>
      <c r="J232" s="62"/>
      <c r="K232" s="62"/>
      <c r="L232" s="62" t="s">
        <v>528</v>
      </c>
      <c r="M232" s="62" t="s">
        <v>529</v>
      </c>
    </row>
    <row r="233" spans="1:13" ht="24" x14ac:dyDescent="0.55000000000000004">
      <c r="A233" s="62" t="s">
        <v>1334</v>
      </c>
      <c r="B233" s="62" t="s">
        <v>1335</v>
      </c>
      <c r="C233" s="62" t="s">
        <v>521</v>
      </c>
      <c r="D233" s="63" t="s">
        <v>1336</v>
      </c>
      <c r="E233" s="63" t="s">
        <v>1337</v>
      </c>
      <c r="F233" s="62" t="s">
        <v>1219</v>
      </c>
      <c r="G233" s="62" t="s">
        <v>1220</v>
      </c>
      <c r="H233" s="62" t="s">
        <v>1312</v>
      </c>
      <c r="I233" s="62" t="s">
        <v>1313</v>
      </c>
      <c r="J233" s="62"/>
      <c r="K233" s="62"/>
      <c r="L233" s="62" t="s">
        <v>482</v>
      </c>
      <c r="M233" s="62" t="s">
        <v>573</v>
      </c>
    </row>
    <row r="234" spans="1:13" ht="24" x14ac:dyDescent="0.55000000000000004">
      <c r="A234" s="62" t="s">
        <v>1338</v>
      </c>
      <c r="B234" s="62" t="s">
        <v>1339</v>
      </c>
      <c r="C234" s="62" t="s">
        <v>512</v>
      </c>
      <c r="D234" s="63" t="s">
        <v>1340</v>
      </c>
      <c r="E234" s="63" t="s">
        <v>1341</v>
      </c>
      <c r="F234" s="62" t="s">
        <v>1219</v>
      </c>
      <c r="G234" s="62" t="s">
        <v>1220</v>
      </c>
      <c r="H234" s="62" t="s">
        <v>1312</v>
      </c>
      <c r="I234" s="62" t="s">
        <v>1313</v>
      </c>
      <c r="J234" s="62"/>
      <c r="K234" s="62"/>
      <c r="L234" s="62" t="s">
        <v>558</v>
      </c>
      <c r="M234" s="62" t="s">
        <v>559</v>
      </c>
    </row>
    <row r="235" spans="1:13" ht="24" x14ac:dyDescent="0.55000000000000004">
      <c r="A235" s="62" t="s">
        <v>1342</v>
      </c>
      <c r="B235" s="62" t="s">
        <v>1343</v>
      </c>
      <c r="C235" s="62" t="s">
        <v>685</v>
      </c>
      <c r="D235" s="63" t="s">
        <v>1344</v>
      </c>
      <c r="E235" s="63" t="s">
        <v>1345</v>
      </c>
      <c r="F235" s="62" t="s">
        <v>1219</v>
      </c>
      <c r="G235" s="62" t="s">
        <v>1220</v>
      </c>
      <c r="H235" s="62" t="s">
        <v>1312</v>
      </c>
      <c r="I235" s="62" t="s">
        <v>1313</v>
      </c>
      <c r="J235" s="62"/>
      <c r="K235" s="62"/>
      <c r="L235" s="62" t="s">
        <v>482</v>
      </c>
      <c r="M235" s="62" t="s">
        <v>573</v>
      </c>
    </row>
    <row r="236" spans="1:13" ht="24" x14ac:dyDescent="0.55000000000000004">
      <c r="A236" s="62" t="s">
        <v>1346</v>
      </c>
      <c r="B236" s="62" t="s">
        <v>1347</v>
      </c>
      <c r="C236" s="62" t="s">
        <v>512</v>
      </c>
      <c r="D236" s="63" t="s">
        <v>1348</v>
      </c>
      <c r="E236" s="63" t="s">
        <v>1349</v>
      </c>
      <c r="F236" s="62" t="s">
        <v>1219</v>
      </c>
      <c r="G236" s="62" t="s">
        <v>1220</v>
      </c>
      <c r="H236" s="62" t="s">
        <v>1312</v>
      </c>
      <c r="I236" s="62" t="s">
        <v>1313</v>
      </c>
      <c r="J236" s="62"/>
      <c r="K236" s="62"/>
      <c r="L236" s="62" t="s">
        <v>482</v>
      </c>
      <c r="M236" s="62" t="s">
        <v>573</v>
      </c>
    </row>
    <row r="237" spans="1:13" ht="24" x14ac:dyDescent="0.55000000000000004">
      <c r="A237" s="62" t="s">
        <v>1350</v>
      </c>
      <c r="B237" s="62" t="s">
        <v>1351</v>
      </c>
      <c r="C237" s="62" t="s">
        <v>521</v>
      </c>
      <c r="D237" s="63" t="s">
        <v>1352</v>
      </c>
      <c r="E237" s="63" t="s">
        <v>1353</v>
      </c>
      <c r="F237" s="62" t="s">
        <v>1219</v>
      </c>
      <c r="G237" s="62" t="s">
        <v>1220</v>
      </c>
      <c r="H237" s="62" t="s">
        <v>1354</v>
      </c>
      <c r="I237" s="62" t="s">
        <v>1355</v>
      </c>
      <c r="J237" s="62"/>
      <c r="K237" s="62"/>
      <c r="L237" s="62" t="s">
        <v>1356</v>
      </c>
      <c r="M237" s="62" t="s">
        <v>1357</v>
      </c>
    </row>
    <row r="238" spans="1:13" ht="24" x14ac:dyDescent="0.55000000000000004">
      <c r="A238" s="62" t="s">
        <v>1358</v>
      </c>
      <c r="B238" s="62" t="s">
        <v>1359</v>
      </c>
      <c r="C238" s="62" t="s">
        <v>512</v>
      </c>
      <c r="D238" s="63" t="s">
        <v>1360</v>
      </c>
      <c r="E238" s="63" t="s">
        <v>1361</v>
      </c>
      <c r="F238" s="62" t="s">
        <v>1362</v>
      </c>
      <c r="G238" s="62" t="s">
        <v>1363</v>
      </c>
      <c r="H238" s="62" t="s">
        <v>1364</v>
      </c>
      <c r="I238" s="62" t="s">
        <v>1365</v>
      </c>
      <c r="J238" s="62"/>
      <c r="K238" s="62"/>
      <c r="L238" s="62" t="s">
        <v>528</v>
      </c>
      <c r="M238" s="62" t="s">
        <v>529</v>
      </c>
    </row>
    <row r="239" spans="1:13" ht="24" x14ac:dyDescent="0.55000000000000004">
      <c r="A239" s="62" t="s">
        <v>1366</v>
      </c>
      <c r="B239" s="62" t="s">
        <v>1367</v>
      </c>
      <c r="C239" s="62" t="s">
        <v>512</v>
      </c>
      <c r="D239" s="63" t="s">
        <v>646</v>
      </c>
      <c r="E239" s="63" t="s">
        <v>523</v>
      </c>
      <c r="F239" s="62" t="s">
        <v>1362</v>
      </c>
      <c r="G239" s="62" t="s">
        <v>1363</v>
      </c>
      <c r="H239" s="62" t="s">
        <v>1368</v>
      </c>
      <c r="I239" s="62" t="s">
        <v>1369</v>
      </c>
      <c r="J239" s="62"/>
      <c r="K239" s="62"/>
      <c r="L239" s="62" t="s">
        <v>1356</v>
      </c>
      <c r="M239" s="62" t="s">
        <v>1357</v>
      </c>
    </row>
    <row r="240" spans="1:13" ht="24" x14ac:dyDescent="0.55000000000000004">
      <c r="A240" s="62" t="s">
        <v>1370</v>
      </c>
      <c r="B240" s="62" t="s">
        <v>1371</v>
      </c>
      <c r="C240" s="62" t="s">
        <v>512</v>
      </c>
      <c r="D240" s="63" t="s">
        <v>1372</v>
      </c>
      <c r="E240" s="63" t="s">
        <v>1373</v>
      </c>
      <c r="F240" s="62" t="s">
        <v>1362</v>
      </c>
      <c r="G240" s="62" t="s">
        <v>1363</v>
      </c>
      <c r="H240" s="62" t="s">
        <v>1368</v>
      </c>
      <c r="I240" s="62" t="s">
        <v>1369</v>
      </c>
      <c r="J240" s="62"/>
      <c r="K240" s="62"/>
      <c r="L240" s="62" t="s">
        <v>642</v>
      </c>
      <c r="M240" s="62" t="s">
        <v>643</v>
      </c>
    </row>
    <row r="241" spans="1:13" ht="24" x14ac:dyDescent="0.55000000000000004">
      <c r="A241" s="62" t="s">
        <v>1374</v>
      </c>
      <c r="B241" s="62" t="s">
        <v>1375</v>
      </c>
      <c r="C241" s="62" t="s">
        <v>521</v>
      </c>
      <c r="D241" s="63" t="s">
        <v>1376</v>
      </c>
      <c r="E241" s="63" t="s">
        <v>1377</v>
      </c>
      <c r="F241" s="62" t="s">
        <v>1362</v>
      </c>
      <c r="G241" s="62" t="s">
        <v>1363</v>
      </c>
      <c r="H241" s="62" t="s">
        <v>1368</v>
      </c>
      <c r="I241" s="62" t="s">
        <v>1369</v>
      </c>
      <c r="J241" s="62"/>
      <c r="K241" s="62"/>
      <c r="L241" s="62" t="s">
        <v>534</v>
      </c>
      <c r="M241" s="62" t="s">
        <v>535</v>
      </c>
    </row>
    <row r="242" spans="1:13" ht="24" x14ac:dyDescent="0.55000000000000004">
      <c r="A242" s="62" t="s">
        <v>1378</v>
      </c>
      <c r="B242" s="62" t="s">
        <v>1379</v>
      </c>
      <c r="C242" s="62" t="s">
        <v>512</v>
      </c>
      <c r="D242" s="63" t="s">
        <v>1380</v>
      </c>
      <c r="E242" s="63" t="s">
        <v>1381</v>
      </c>
      <c r="F242" s="62" t="s">
        <v>1382</v>
      </c>
      <c r="G242" s="62" t="s">
        <v>1383</v>
      </c>
      <c r="H242" s="62" t="s">
        <v>1384</v>
      </c>
      <c r="I242" s="62" t="s">
        <v>1385</v>
      </c>
      <c r="J242" s="62"/>
      <c r="K242" s="62"/>
      <c r="L242" s="62" t="s">
        <v>482</v>
      </c>
      <c r="M242" s="62" t="s">
        <v>573</v>
      </c>
    </row>
    <row r="243" spans="1:13" ht="24" x14ac:dyDescent="0.55000000000000004">
      <c r="A243" s="62" t="s">
        <v>1386</v>
      </c>
      <c r="B243" s="62" t="s">
        <v>1387</v>
      </c>
      <c r="C243" s="62" t="s">
        <v>685</v>
      </c>
      <c r="D243" s="63" t="s">
        <v>1388</v>
      </c>
      <c r="E243" s="63" t="s">
        <v>1389</v>
      </c>
      <c r="F243" s="62" t="s">
        <v>1382</v>
      </c>
      <c r="G243" s="62" t="s">
        <v>1383</v>
      </c>
      <c r="H243" s="62" t="s">
        <v>1384</v>
      </c>
      <c r="I243" s="62" t="s">
        <v>1385</v>
      </c>
      <c r="J243" s="62"/>
      <c r="K243" s="62"/>
      <c r="L243" s="62" t="s">
        <v>574</v>
      </c>
      <c r="M243" s="62" t="s">
        <v>1390</v>
      </c>
    </row>
    <row r="244" spans="1:13" ht="24" x14ac:dyDescent="0.55000000000000004">
      <c r="A244" s="62" t="s">
        <v>1391</v>
      </c>
      <c r="B244" s="62" t="s">
        <v>1392</v>
      </c>
      <c r="C244" s="62" t="s">
        <v>685</v>
      </c>
      <c r="D244" s="63" t="s">
        <v>1393</v>
      </c>
      <c r="E244" s="63" t="s">
        <v>514</v>
      </c>
      <c r="F244" s="62" t="s">
        <v>1382</v>
      </c>
      <c r="G244" s="62" t="s">
        <v>1383</v>
      </c>
      <c r="H244" s="62" t="s">
        <v>1384</v>
      </c>
      <c r="I244" s="62" t="s">
        <v>1385</v>
      </c>
      <c r="J244" s="62"/>
      <c r="K244" s="62"/>
      <c r="L244" s="62" t="s">
        <v>574</v>
      </c>
      <c r="M244" s="62" t="s">
        <v>1390</v>
      </c>
    </row>
    <row r="245" spans="1:13" ht="24" x14ac:dyDescent="0.55000000000000004">
      <c r="A245" s="62" t="s">
        <v>1394</v>
      </c>
      <c r="B245" s="62" t="s">
        <v>1395</v>
      </c>
      <c r="C245" s="62" t="s">
        <v>512</v>
      </c>
      <c r="D245" s="63" t="s">
        <v>1396</v>
      </c>
      <c r="E245" s="63" t="s">
        <v>1397</v>
      </c>
      <c r="F245" s="62" t="s">
        <v>1382</v>
      </c>
      <c r="G245" s="62" t="s">
        <v>1383</v>
      </c>
      <c r="H245" s="62" t="s">
        <v>1384</v>
      </c>
      <c r="I245" s="62" t="s">
        <v>1385</v>
      </c>
      <c r="J245" s="62"/>
      <c r="K245" s="62"/>
      <c r="L245" s="62" t="s">
        <v>578</v>
      </c>
      <c r="M245" s="62" t="s">
        <v>1398</v>
      </c>
    </row>
    <row r="246" spans="1:13" ht="24" x14ac:dyDescent="0.55000000000000004">
      <c r="A246" s="62" t="s">
        <v>1399</v>
      </c>
      <c r="B246" s="62" t="s">
        <v>1400</v>
      </c>
      <c r="C246" s="62" t="s">
        <v>512</v>
      </c>
      <c r="D246" s="63" t="s">
        <v>1401</v>
      </c>
      <c r="E246" s="63" t="s">
        <v>1402</v>
      </c>
      <c r="F246" s="62" t="s">
        <v>1382</v>
      </c>
      <c r="G246" s="62" t="s">
        <v>1383</v>
      </c>
      <c r="H246" s="62" t="s">
        <v>1384</v>
      </c>
      <c r="I246" s="62" t="s">
        <v>1385</v>
      </c>
      <c r="J246" s="62"/>
      <c r="K246" s="62"/>
      <c r="L246" s="62" t="s">
        <v>482</v>
      </c>
      <c r="M246" s="62" t="s">
        <v>573</v>
      </c>
    </row>
    <row r="247" spans="1:13" ht="24" x14ac:dyDescent="0.55000000000000004">
      <c r="A247" s="62" t="s">
        <v>1403</v>
      </c>
      <c r="B247" s="62" t="s">
        <v>1404</v>
      </c>
      <c r="C247" s="62" t="s">
        <v>685</v>
      </c>
      <c r="D247" s="63" t="s">
        <v>1405</v>
      </c>
      <c r="E247" s="63" t="s">
        <v>1397</v>
      </c>
      <c r="F247" s="62" t="s">
        <v>1382</v>
      </c>
      <c r="G247" s="62" t="s">
        <v>1383</v>
      </c>
      <c r="H247" s="62" t="s">
        <v>1384</v>
      </c>
      <c r="I247" s="62" t="s">
        <v>1385</v>
      </c>
      <c r="J247" s="62"/>
      <c r="K247" s="62"/>
      <c r="L247" s="62" t="s">
        <v>517</v>
      </c>
      <c r="M247" s="62" t="s">
        <v>518</v>
      </c>
    </row>
    <row r="248" spans="1:13" ht="24" x14ac:dyDescent="0.55000000000000004">
      <c r="A248" s="62" t="s">
        <v>1406</v>
      </c>
      <c r="B248" s="62" t="s">
        <v>1407</v>
      </c>
      <c r="C248" s="62" t="s">
        <v>521</v>
      </c>
      <c r="D248" s="63" t="s">
        <v>1408</v>
      </c>
      <c r="E248" s="63" t="s">
        <v>1409</v>
      </c>
      <c r="F248" s="62" t="s">
        <v>1382</v>
      </c>
      <c r="G248" s="62" t="s">
        <v>1383</v>
      </c>
      <c r="H248" s="62" t="s">
        <v>1384</v>
      </c>
      <c r="I248" s="62" t="s">
        <v>1385</v>
      </c>
      <c r="J248" s="62"/>
      <c r="K248" s="62"/>
      <c r="L248" s="62" t="s">
        <v>482</v>
      </c>
      <c r="M248" s="62" t="s">
        <v>573</v>
      </c>
    </row>
    <row r="249" spans="1:13" ht="24" x14ac:dyDescent="0.55000000000000004">
      <c r="A249" s="62" t="s">
        <v>1410</v>
      </c>
      <c r="B249" s="62" t="s">
        <v>1411</v>
      </c>
      <c r="C249" s="62" t="s">
        <v>521</v>
      </c>
      <c r="D249" s="63" t="s">
        <v>1412</v>
      </c>
      <c r="E249" s="63" t="s">
        <v>1413</v>
      </c>
      <c r="F249" s="62" t="s">
        <v>1382</v>
      </c>
      <c r="G249" s="62" t="s">
        <v>1383</v>
      </c>
      <c r="H249" s="62" t="s">
        <v>1384</v>
      </c>
      <c r="I249" s="62" t="s">
        <v>1385</v>
      </c>
      <c r="J249" s="62"/>
      <c r="K249" s="62"/>
      <c r="L249" s="62" t="s">
        <v>482</v>
      </c>
      <c r="M249" s="62" t="s">
        <v>573</v>
      </c>
    </row>
    <row r="250" spans="1:13" ht="24" x14ac:dyDescent="0.55000000000000004">
      <c r="A250" s="62" t="s">
        <v>1414</v>
      </c>
      <c r="B250" s="62" t="s">
        <v>1415</v>
      </c>
      <c r="C250" s="62" t="s">
        <v>512</v>
      </c>
      <c r="D250" s="63" t="s">
        <v>1416</v>
      </c>
      <c r="E250" s="63" t="s">
        <v>1397</v>
      </c>
      <c r="F250" s="62" t="s">
        <v>1382</v>
      </c>
      <c r="G250" s="62" t="s">
        <v>1383</v>
      </c>
      <c r="H250" s="62" t="s">
        <v>1384</v>
      </c>
      <c r="I250" s="62" t="s">
        <v>1385</v>
      </c>
      <c r="J250" s="62"/>
      <c r="K250" s="62"/>
      <c r="L250" s="62" t="s">
        <v>578</v>
      </c>
      <c r="M250" s="62" t="s">
        <v>1398</v>
      </c>
    </row>
    <row r="251" spans="1:13" ht="24" x14ac:dyDescent="0.55000000000000004">
      <c r="A251" s="62" t="s">
        <v>1417</v>
      </c>
      <c r="B251" s="62" t="s">
        <v>1418</v>
      </c>
      <c r="C251" s="62" t="s">
        <v>521</v>
      </c>
      <c r="D251" s="63" t="s">
        <v>1419</v>
      </c>
      <c r="E251" s="63" t="s">
        <v>80</v>
      </c>
      <c r="F251" s="62" t="s">
        <v>1382</v>
      </c>
      <c r="G251" s="62" t="s">
        <v>1383</v>
      </c>
      <c r="H251" s="62" t="s">
        <v>1384</v>
      </c>
      <c r="I251" s="62" t="s">
        <v>1385</v>
      </c>
      <c r="J251" s="62"/>
      <c r="K251" s="62"/>
      <c r="L251" s="62" t="s">
        <v>482</v>
      </c>
      <c r="M251" s="62" t="s">
        <v>573</v>
      </c>
    </row>
    <row r="252" spans="1:13" ht="24" x14ac:dyDescent="0.55000000000000004">
      <c r="A252" s="62" t="s">
        <v>1420</v>
      </c>
      <c r="B252" s="62" t="s">
        <v>1421</v>
      </c>
      <c r="C252" s="62" t="s">
        <v>521</v>
      </c>
      <c r="D252" s="63" t="s">
        <v>1422</v>
      </c>
      <c r="E252" s="63" t="s">
        <v>1423</v>
      </c>
      <c r="F252" s="62" t="s">
        <v>1424</v>
      </c>
      <c r="G252" s="62" t="s">
        <v>1425</v>
      </c>
      <c r="H252" s="62" t="s">
        <v>1426</v>
      </c>
      <c r="I252" s="62" t="s">
        <v>1427</v>
      </c>
      <c r="J252" s="62"/>
      <c r="K252" s="62"/>
      <c r="L252" s="62" t="s">
        <v>534</v>
      </c>
      <c r="M252" s="62" t="s">
        <v>535</v>
      </c>
    </row>
    <row r="253" spans="1:13" ht="24" x14ac:dyDescent="0.55000000000000004">
      <c r="A253" s="62" t="s">
        <v>1428</v>
      </c>
      <c r="B253" s="62" t="s">
        <v>1429</v>
      </c>
      <c r="C253" s="62" t="s">
        <v>521</v>
      </c>
      <c r="D253" s="63" t="s">
        <v>1430</v>
      </c>
      <c r="E253" s="63" t="s">
        <v>1431</v>
      </c>
      <c r="F253" s="62" t="s">
        <v>1424</v>
      </c>
      <c r="G253" s="62" t="s">
        <v>1425</v>
      </c>
      <c r="H253" s="62" t="s">
        <v>1426</v>
      </c>
      <c r="I253" s="62" t="s">
        <v>1427</v>
      </c>
      <c r="J253" s="62"/>
      <c r="K253" s="62"/>
      <c r="L253" s="62" t="s">
        <v>534</v>
      </c>
      <c r="M253" s="62" t="s">
        <v>535</v>
      </c>
    </row>
    <row r="254" spans="1:13" ht="24" x14ac:dyDescent="0.55000000000000004">
      <c r="A254" s="62" t="s">
        <v>1432</v>
      </c>
      <c r="B254" s="62" t="s">
        <v>1433</v>
      </c>
      <c r="C254" s="62" t="s">
        <v>521</v>
      </c>
      <c r="D254" s="63" t="s">
        <v>1434</v>
      </c>
      <c r="E254" s="63" t="s">
        <v>1435</v>
      </c>
      <c r="F254" s="62" t="s">
        <v>1424</v>
      </c>
      <c r="G254" s="62" t="s">
        <v>1425</v>
      </c>
      <c r="H254" s="62" t="s">
        <v>1426</v>
      </c>
      <c r="I254" s="62" t="s">
        <v>1427</v>
      </c>
      <c r="J254" s="62"/>
      <c r="K254" s="62"/>
      <c r="L254" s="62" t="s">
        <v>482</v>
      </c>
      <c r="M254" s="62" t="s">
        <v>573</v>
      </c>
    </row>
    <row r="255" spans="1:13" ht="24" x14ac:dyDescent="0.55000000000000004">
      <c r="A255" s="62" t="s">
        <v>1436</v>
      </c>
      <c r="B255" s="62" t="s">
        <v>1437</v>
      </c>
      <c r="C255" s="62" t="s">
        <v>512</v>
      </c>
      <c r="D255" s="63" t="s">
        <v>1438</v>
      </c>
      <c r="E255" s="63" t="s">
        <v>1439</v>
      </c>
      <c r="F255" s="62" t="s">
        <v>1424</v>
      </c>
      <c r="G255" s="62" t="s">
        <v>1425</v>
      </c>
      <c r="H255" s="62" t="s">
        <v>1440</v>
      </c>
      <c r="I255" s="62" t="s">
        <v>1441</v>
      </c>
      <c r="J255" s="62"/>
      <c r="K255" s="62"/>
      <c r="L255" s="62" t="s">
        <v>528</v>
      </c>
      <c r="M255" s="62" t="s">
        <v>529</v>
      </c>
    </row>
    <row r="256" spans="1:13" ht="24" x14ac:dyDescent="0.55000000000000004">
      <c r="A256" s="62" t="s">
        <v>1442</v>
      </c>
      <c r="B256" s="62" t="s">
        <v>1443</v>
      </c>
      <c r="C256" s="62" t="s">
        <v>521</v>
      </c>
      <c r="D256" s="63" t="s">
        <v>1444</v>
      </c>
      <c r="E256" s="63" t="s">
        <v>1445</v>
      </c>
      <c r="F256" s="62" t="s">
        <v>1424</v>
      </c>
      <c r="G256" s="62" t="s">
        <v>1425</v>
      </c>
      <c r="H256" s="62" t="s">
        <v>1446</v>
      </c>
      <c r="I256" s="62" t="s">
        <v>1447</v>
      </c>
      <c r="J256" s="62"/>
      <c r="K256" s="62"/>
      <c r="L256" s="62" t="s">
        <v>1356</v>
      </c>
      <c r="M256" s="62" t="s">
        <v>1357</v>
      </c>
    </row>
    <row r="257" spans="1:13" ht="48" x14ac:dyDescent="0.55000000000000004">
      <c r="A257" s="62" t="s">
        <v>1448</v>
      </c>
      <c r="B257" s="62" t="s">
        <v>1449</v>
      </c>
      <c r="C257" s="62" t="s">
        <v>512</v>
      </c>
      <c r="D257" s="63" t="s">
        <v>1450</v>
      </c>
      <c r="E257" s="63" t="s">
        <v>1451</v>
      </c>
      <c r="F257" s="62" t="s">
        <v>1452</v>
      </c>
      <c r="G257" s="62" t="s">
        <v>1453</v>
      </c>
      <c r="H257" s="62" t="s">
        <v>1454</v>
      </c>
      <c r="I257" s="62" t="s">
        <v>1453</v>
      </c>
      <c r="J257" s="62"/>
      <c r="K257" s="62"/>
      <c r="L257" s="62" t="s">
        <v>528</v>
      </c>
      <c r="M257" s="62" t="s">
        <v>529</v>
      </c>
    </row>
    <row r="258" spans="1:13" ht="48" x14ac:dyDescent="0.55000000000000004">
      <c r="A258" s="62" t="s">
        <v>1455</v>
      </c>
      <c r="B258" s="62" t="s">
        <v>1456</v>
      </c>
      <c r="C258" s="62" t="s">
        <v>521</v>
      </c>
      <c r="D258" s="63" t="s">
        <v>1457</v>
      </c>
      <c r="E258" s="63" t="s">
        <v>1458</v>
      </c>
      <c r="F258" s="62" t="s">
        <v>1452</v>
      </c>
      <c r="G258" s="62" t="s">
        <v>1453</v>
      </c>
      <c r="H258" s="62" t="s">
        <v>1454</v>
      </c>
      <c r="I258" s="62" t="s">
        <v>1453</v>
      </c>
      <c r="J258" s="62"/>
      <c r="K258" s="62"/>
      <c r="L258" s="62" t="s">
        <v>482</v>
      </c>
      <c r="M258" s="62" t="s">
        <v>573</v>
      </c>
    </row>
    <row r="259" spans="1:13" ht="48" x14ac:dyDescent="0.55000000000000004">
      <c r="A259" s="62" t="s">
        <v>1459</v>
      </c>
      <c r="B259" s="62" t="s">
        <v>1460</v>
      </c>
      <c r="C259" s="62" t="s">
        <v>512</v>
      </c>
      <c r="D259" s="63" t="s">
        <v>1461</v>
      </c>
      <c r="E259" s="63" t="s">
        <v>1462</v>
      </c>
      <c r="F259" s="62" t="s">
        <v>1452</v>
      </c>
      <c r="G259" s="62" t="s">
        <v>1453</v>
      </c>
      <c r="H259" s="62" t="s">
        <v>1454</v>
      </c>
      <c r="I259" s="62" t="s">
        <v>1453</v>
      </c>
      <c r="J259" s="62"/>
      <c r="K259" s="62"/>
      <c r="L259" s="62" t="s">
        <v>534</v>
      </c>
      <c r="M259" s="62" t="s">
        <v>535</v>
      </c>
    </row>
    <row r="260" spans="1:13" ht="48" x14ac:dyDescent="0.55000000000000004">
      <c r="A260" s="62" t="s">
        <v>1463</v>
      </c>
      <c r="B260" s="62" t="s">
        <v>1464</v>
      </c>
      <c r="C260" s="62" t="s">
        <v>521</v>
      </c>
      <c r="D260" s="63" t="s">
        <v>1465</v>
      </c>
      <c r="E260" s="63" t="s">
        <v>1466</v>
      </c>
      <c r="F260" s="62" t="s">
        <v>1452</v>
      </c>
      <c r="G260" s="62" t="s">
        <v>1453</v>
      </c>
      <c r="H260" s="62" t="s">
        <v>1454</v>
      </c>
      <c r="I260" s="62" t="s">
        <v>1453</v>
      </c>
      <c r="J260" s="62"/>
      <c r="K260" s="62"/>
      <c r="L260" s="62" t="s">
        <v>534</v>
      </c>
      <c r="M260" s="62" t="s">
        <v>535</v>
      </c>
    </row>
    <row r="261" spans="1:13" ht="48" x14ac:dyDescent="0.55000000000000004">
      <c r="A261" s="62" t="s">
        <v>1467</v>
      </c>
      <c r="B261" s="62" t="s">
        <v>1468</v>
      </c>
      <c r="C261" s="62" t="s">
        <v>512</v>
      </c>
      <c r="D261" s="63" t="s">
        <v>1469</v>
      </c>
      <c r="E261" s="63" t="s">
        <v>1470</v>
      </c>
      <c r="F261" s="62" t="s">
        <v>1452</v>
      </c>
      <c r="G261" s="62" t="s">
        <v>1453</v>
      </c>
      <c r="H261" s="62" t="s">
        <v>1454</v>
      </c>
      <c r="I261" s="62" t="s">
        <v>1453</v>
      </c>
      <c r="J261" s="62"/>
      <c r="K261" s="62"/>
      <c r="L261" s="62" t="s">
        <v>482</v>
      </c>
      <c r="M261" s="62" t="s">
        <v>573</v>
      </c>
    </row>
    <row r="262" spans="1:13" ht="48" x14ac:dyDescent="0.55000000000000004">
      <c r="A262" s="62" t="s">
        <v>1471</v>
      </c>
      <c r="B262" s="62" t="s">
        <v>1472</v>
      </c>
      <c r="C262" s="62" t="s">
        <v>521</v>
      </c>
      <c r="D262" s="63" t="s">
        <v>1473</v>
      </c>
      <c r="E262" s="63" t="s">
        <v>80</v>
      </c>
      <c r="F262" s="62" t="s">
        <v>1452</v>
      </c>
      <c r="G262" s="62" t="s">
        <v>1453</v>
      </c>
      <c r="H262" s="62" t="s">
        <v>1454</v>
      </c>
      <c r="I262" s="62" t="s">
        <v>1453</v>
      </c>
      <c r="J262" s="62"/>
      <c r="K262" s="62"/>
      <c r="L262" s="62" t="s">
        <v>482</v>
      </c>
      <c r="M262" s="62" t="s">
        <v>573</v>
      </c>
    </row>
    <row r="263" spans="1:13" ht="48" x14ac:dyDescent="0.55000000000000004">
      <c r="A263" s="62" t="s">
        <v>1474</v>
      </c>
      <c r="B263" s="62" t="s">
        <v>1475</v>
      </c>
      <c r="C263" s="62" t="s">
        <v>521</v>
      </c>
      <c r="D263" s="63" t="s">
        <v>1476</v>
      </c>
      <c r="E263" s="63" t="s">
        <v>80</v>
      </c>
      <c r="F263" s="62" t="s">
        <v>1452</v>
      </c>
      <c r="G263" s="62" t="s">
        <v>1453</v>
      </c>
      <c r="H263" s="62" t="s">
        <v>1454</v>
      </c>
      <c r="I263" s="62" t="s">
        <v>1453</v>
      </c>
      <c r="J263" s="62"/>
      <c r="K263" s="62"/>
      <c r="L263" s="62" t="s">
        <v>482</v>
      </c>
      <c r="M263" s="62" t="s">
        <v>573</v>
      </c>
    </row>
    <row r="264" spans="1:13" ht="24" x14ac:dyDescent="0.55000000000000004">
      <c r="A264" s="62" t="s">
        <v>1477</v>
      </c>
      <c r="B264" s="62" t="s">
        <v>1478</v>
      </c>
      <c r="C264" s="62" t="s">
        <v>685</v>
      </c>
      <c r="D264" s="63" t="s">
        <v>1479</v>
      </c>
      <c r="E264" s="63" t="s">
        <v>1480</v>
      </c>
      <c r="F264" s="62" t="s">
        <v>1481</v>
      </c>
      <c r="G264" s="62" t="s">
        <v>1482</v>
      </c>
      <c r="H264" s="62"/>
      <c r="I264" s="62"/>
      <c r="J264" s="62"/>
      <c r="K264" s="62"/>
      <c r="L264" s="62" t="s">
        <v>837</v>
      </c>
      <c r="M264" s="62" t="s">
        <v>838</v>
      </c>
    </row>
    <row r="265" spans="1:13" ht="24" x14ac:dyDescent="0.55000000000000004">
      <c r="A265" s="62" t="s">
        <v>1483</v>
      </c>
      <c r="B265" s="62" t="s">
        <v>1484</v>
      </c>
      <c r="C265" s="62" t="s">
        <v>521</v>
      </c>
      <c r="D265" s="63" t="s">
        <v>1485</v>
      </c>
      <c r="E265" s="63" t="s">
        <v>1486</v>
      </c>
      <c r="F265" s="62" t="s">
        <v>1481</v>
      </c>
      <c r="G265" s="62" t="s">
        <v>1482</v>
      </c>
      <c r="H265" s="62"/>
      <c r="I265" s="62"/>
      <c r="J265" s="62"/>
      <c r="K265" s="62"/>
      <c r="L265" s="62" t="s">
        <v>837</v>
      </c>
      <c r="M265" s="62" t="s">
        <v>838</v>
      </c>
    </row>
    <row r="266" spans="1:13" ht="24" x14ac:dyDescent="0.55000000000000004">
      <c r="A266" s="62" t="s">
        <v>1487</v>
      </c>
      <c r="B266" s="62" t="s">
        <v>1488</v>
      </c>
      <c r="C266" s="62" t="s">
        <v>512</v>
      </c>
      <c r="D266" s="63" t="s">
        <v>1489</v>
      </c>
      <c r="E266" s="63" t="s">
        <v>1490</v>
      </c>
      <c r="F266" s="62" t="s">
        <v>1481</v>
      </c>
      <c r="G266" s="62" t="s">
        <v>1482</v>
      </c>
      <c r="H266" s="62"/>
      <c r="I266" s="62"/>
      <c r="J266" s="62"/>
      <c r="K266" s="62"/>
      <c r="L266" s="62" t="s">
        <v>837</v>
      </c>
      <c r="M266" s="62" t="s">
        <v>838</v>
      </c>
    </row>
    <row r="267" spans="1:13" ht="24" x14ac:dyDescent="0.55000000000000004">
      <c r="A267" s="62" t="s">
        <v>1491</v>
      </c>
      <c r="B267" s="62" t="s">
        <v>1492</v>
      </c>
      <c r="C267" s="62" t="s">
        <v>521</v>
      </c>
      <c r="D267" s="63" t="s">
        <v>1493</v>
      </c>
      <c r="E267" s="63" t="s">
        <v>1413</v>
      </c>
      <c r="F267" s="62" t="s">
        <v>1494</v>
      </c>
      <c r="G267" s="62" t="s">
        <v>1495</v>
      </c>
      <c r="H267" s="62"/>
      <c r="I267" s="62"/>
      <c r="J267" s="62"/>
      <c r="K267" s="62"/>
      <c r="L267" s="62" t="s">
        <v>517</v>
      </c>
      <c r="M267" s="62" t="s">
        <v>518</v>
      </c>
    </row>
    <row r="268" spans="1:13" ht="24" x14ac:dyDescent="0.55000000000000004">
      <c r="A268" s="62" t="s">
        <v>1496</v>
      </c>
      <c r="B268" s="62" t="s">
        <v>1497</v>
      </c>
      <c r="C268" s="62" t="s">
        <v>512</v>
      </c>
      <c r="D268" s="63" t="s">
        <v>1498</v>
      </c>
      <c r="E268" s="63" t="s">
        <v>1499</v>
      </c>
      <c r="F268" s="62" t="s">
        <v>1494</v>
      </c>
      <c r="G268" s="62" t="s">
        <v>1495</v>
      </c>
      <c r="H268" s="62"/>
      <c r="I268" s="62"/>
      <c r="J268" s="62"/>
      <c r="K268" s="62"/>
      <c r="L268" s="62" t="s">
        <v>517</v>
      </c>
      <c r="M268" s="62" t="s">
        <v>518</v>
      </c>
    </row>
  </sheetData>
  <sheetProtection formatCells="0" formatColumns="0" formatRows="0" insertColumns="0" insertRows="0" insertHyperlinks="0" deleteColumns="0" deleteRows="0" sort="0" autoFilter="0" pivotTables="0"/>
  <autoFilter ref="A3:N3" xr:uid="{5FC11BA5-CAB6-4047-8448-DA1A585CB4D0}"/>
  <mergeCells count="1">
    <mergeCell ref="A1:M1"/>
  </mergeCells>
  <dataValidations count="3">
    <dataValidation type="list" showInputMessage="1" showErrorMessage="1" errorTitle="Input error" error="Value is not in list." promptTitle="กรุณาเลือก" prompt="02-นาง" sqref="C40 C264 C247 C243:C244 C235 C174 C123 C119 C103 C101 C88 C81 C42" xr:uid="{1EB49676-6BB5-40E3-B994-B9A91F9AE5D9}">
      <formula1>"01-นาย,02-นาง,03-นางสาว"</formula1>
    </dataValidation>
    <dataValidation type="list" showInputMessage="1" showErrorMessage="1" errorTitle="Input error" error="Value is not in list." promptTitle="กรุณาเลือก" prompt="03-นางสาว" sqref="C267 C265 C262:C263 C260 C258 C256 C251:C254 C248:C249 C241 C237 C233 C227:C231 C222:C223 C214 C206:C212 C203 C198 C194 C187:C191 C185 C178:C179 C168 C142 C124:C125 C118 C115 C112:C113 C109:C110 C107 C97 C94 C90:C91 C86:C87 C83 C80 C71:C72 C66:C67 C58 C56 C41 C39 C36:C37 C26 C20:C24 C10:C11 C5:C8" xr:uid="{07235D63-1F94-47E0-BA13-B8F46BB2B6A8}">
      <formula1>"01-นาย,02-นาง,03-นางสาว"</formula1>
    </dataValidation>
    <dataValidation type="list" showInputMessage="1" showErrorMessage="1" errorTitle="Input error" error="Value is not in list." promptTitle="กรุณาเลือก" prompt="01-นาย" sqref="C4 C268 C266 C261 C259 C257 C255 C250 C245:C246 C242 C238:C240 C236 C234 C232 C224:C226 C215:C221 C213 C204:C205 C199:C202 C195:C197 C192:C193 C186 C180:C184 C175:C177 C169:C173 C143:C167 C126:C141 C120:C122 C116:C117 C114 C111 C108 C104:C106 C102 C98:C100 C95:C96 C92:C93 C89 C84:C85 C82 C73:C79 C68:C70 C59:C65 C57 C43:C55 C38 C27:C35 C25 C12:C19 C9" xr:uid="{2CD6D2F4-6E4E-4585-B3BD-ACCBC31E53F4}">
      <formula1>"01-นาย,02-นาง,03-นางสาว"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3"/>
  <sheetViews>
    <sheetView workbookViewId="0">
      <pane ySplit="2" topLeftCell="A285" activePane="bottomLeft" state="frozen"/>
      <selection pane="bottomLeft" activeCell="D317" sqref="D317"/>
    </sheetView>
  </sheetViews>
  <sheetFormatPr defaultRowHeight="14.25" x14ac:dyDescent="0.2"/>
  <cols>
    <col min="1" max="1" width="14" customWidth="1"/>
    <col min="2" max="4" width="10" customWidth="1"/>
    <col min="5" max="5" width="16" customWidth="1"/>
    <col min="6" max="6" width="12" customWidth="1"/>
    <col min="7" max="7" width="44" customWidth="1"/>
    <col min="8" max="8" width="10" customWidth="1"/>
    <col min="9" max="9" width="10" style="67" customWidth="1"/>
    <col min="10" max="10" width="10" style="72" customWidth="1"/>
    <col min="11" max="12" width="12" style="72" customWidth="1"/>
    <col min="13" max="13" width="11" style="72" customWidth="1"/>
  </cols>
  <sheetData>
    <row r="1" spans="1:13" ht="24" customHeight="1" thickBot="1" x14ac:dyDescent="0.25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3" ht="27.95" customHeight="1" thickBot="1" x14ac:dyDescent="0.25">
      <c r="A2" s="54" t="s">
        <v>1</v>
      </c>
      <c r="B2" s="54" t="s">
        <v>2</v>
      </c>
      <c r="C2" s="54" t="s">
        <v>3</v>
      </c>
      <c r="D2" s="54" t="s">
        <v>1500</v>
      </c>
      <c r="E2" s="54" t="s">
        <v>4</v>
      </c>
      <c r="F2" s="54" t="s">
        <v>5</v>
      </c>
      <c r="G2" s="54" t="s">
        <v>6</v>
      </c>
      <c r="H2" s="54" t="s">
        <v>7</v>
      </c>
      <c r="I2" s="64" t="s">
        <v>8</v>
      </c>
      <c r="J2" s="54" t="s">
        <v>9</v>
      </c>
      <c r="K2" s="54" t="s">
        <v>10</v>
      </c>
      <c r="L2" s="54" t="s">
        <v>11</v>
      </c>
      <c r="M2" s="54" t="s">
        <v>12</v>
      </c>
    </row>
    <row r="3" spans="1:13" x14ac:dyDescent="0.2">
      <c r="A3" s="55" t="s">
        <v>13</v>
      </c>
      <c r="B3" s="55" t="s">
        <v>14</v>
      </c>
      <c r="C3" s="55" t="s">
        <v>933</v>
      </c>
      <c r="D3" s="55" t="s">
        <v>15</v>
      </c>
      <c r="E3" s="55" t="s">
        <v>13</v>
      </c>
      <c r="F3" s="56">
        <v>6150</v>
      </c>
      <c r="G3" s="56" t="s">
        <v>16</v>
      </c>
      <c r="H3" s="55" t="s">
        <v>17</v>
      </c>
      <c r="I3" s="65">
        <v>1.2</v>
      </c>
      <c r="J3" s="68">
        <v>50</v>
      </c>
      <c r="K3" s="68">
        <v>332</v>
      </c>
      <c r="L3" s="68">
        <v>446</v>
      </c>
      <c r="M3" s="69">
        <v>0.85</v>
      </c>
    </row>
    <row r="4" spans="1:13" x14ac:dyDescent="0.2">
      <c r="A4" s="57" t="s">
        <v>18</v>
      </c>
      <c r="B4" s="57" t="s">
        <v>14</v>
      </c>
      <c r="C4" s="55" t="s">
        <v>933</v>
      </c>
      <c r="D4" s="57" t="s">
        <v>19</v>
      </c>
      <c r="E4" s="57" t="s">
        <v>18</v>
      </c>
      <c r="F4" s="58">
        <v>6150</v>
      </c>
      <c r="G4" s="58" t="s">
        <v>16</v>
      </c>
      <c r="H4" s="57" t="s">
        <v>17</v>
      </c>
      <c r="I4" s="66">
        <v>1.2</v>
      </c>
      <c r="J4" s="70">
        <v>50</v>
      </c>
      <c r="K4" s="70">
        <v>332</v>
      </c>
      <c r="L4" s="70">
        <v>446</v>
      </c>
      <c r="M4" s="71">
        <v>0.85</v>
      </c>
    </row>
    <row r="5" spans="1:13" x14ac:dyDescent="0.2">
      <c r="A5" s="55" t="s">
        <v>20</v>
      </c>
      <c r="B5" s="55" t="s">
        <v>14</v>
      </c>
      <c r="C5" s="55" t="s">
        <v>933</v>
      </c>
      <c r="D5" s="55" t="s">
        <v>21</v>
      </c>
      <c r="E5" s="55" t="s">
        <v>20</v>
      </c>
      <c r="F5" s="56">
        <v>6150</v>
      </c>
      <c r="G5" s="56" t="s">
        <v>16</v>
      </c>
      <c r="H5" s="55" t="s">
        <v>17</v>
      </c>
      <c r="I5" s="65">
        <v>1.58</v>
      </c>
      <c r="J5" s="68">
        <v>38</v>
      </c>
      <c r="K5" s="68">
        <v>253</v>
      </c>
      <c r="L5" s="68">
        <v>339</v>
      </c>
      <c r="M5" s="69">
        <v>0.85</v>
      </c>
    </row>
    <row r="6" spans="1:13" x14ac:dyDescent="0.2">
      <c r="A6" s="57" t="s">
        <v>22</v>
      </c>
      <c r="B6" s="57" t="s">
        <v>14</v>
      </c>
      <c r="C6" s="55" t="s">
        <v>933</v>
      </c>
      <c r="D6" s="57" t="s">
        <v>23</v>
      </c>
      <c r="E6" s="57" t="s">
        <v>22</v>
      </c>
      <c r="F6" s="58">
        <v>6150</v>
      </c>
      <c r="G6" s="58" t="s">
        <v>16</v>
      </c>
      <c r="H6" s="57" t="s">
        <v>17</v>
      </c>
      <c r="I6" s="66">
        <v>0.75</v>
      </c>
      <c r="J6" s="70">
        <v>80</v>
      </c>
      <c r="K6" s="70">
        <v>532</v>
      </c>
      <c r="L6" s="70">
        <v>714</v>
      </c>
      <c r="M6" s="71">
        <v>0.85</v>
      </c>
    </row>
    <row r="7" spans="1:13" x14ac:dyDescent="0.2">
      <c r="A7" s="55" t="s">
        <v>22</v>
      </c>
      <c r="B7" s="55" t="s">
        <v>14</v>
      </c>
      <c r="C7" s="55" t="s">
        <v>933</v>
      </c>
      <c r="D7" s="55" t="s">
        <v>23</v>
      </c>
      <c r="E7" s="55" t="s">
        <v>22</v>
      </c>
      <c r="F7" s="56">
        <v>6155</v>
      </c>
      <c r="G7" s="56" t="s">
        <v>24</v>
      </c>
      <c r="H7" s="55" t="s">
        <v>17</v>
      </c>
      <c r="I7" s="65">
        <v>0.75</v>
      </c>
      <c r="J7" s="68">
        <v>80</v>
      </c>
      <c r="K7" s="68">
        <v>532</v>
      </c>
      <c r="L7" s="68">
        <v>714</v>
      </c>
      <c r="M7" s="69">
        <v>0.85</v>
      </c>
    </row>
    <row r="8" spans="1:13" x14ac:dyDescent="0.2">
      <c r="A8" s="57" t="s">
        <v>22</v>
      </c>
      <c r="B8" s="57" t="s">
        <v>14</v>
      </c>
      <c r="C8" s="55" t="s">
        <v>933</v>
      </c>
      <c r="D8" s="57" t="s">
        <v>23</v>
      </c>
      <c r="E8" s="57" t="s">
        <v>22</v>
      </c>
      <c r="F8" s="58">
        <v>6320</v>
      </c>
      <c r="G8" s="58" t="s">
        <v>25</v>
      </c>
      <c r="H8" s="57" t="s">
        <v>26</v>
      </c>
      <c r="I8" s="66">
        <v>0.9</v>
      </c>
      <c r="J8" s="70">
        <v>66</v>
      </c>
      <c r="K8" s="70">
        <v>443</v>
      </c>
      <c r="L8" s="70">
        <v>595</v>
      </c>
      <c r="M8" s="71">
        <v>0.85</v>
      </c>
    </row>
    <row r="9" spans="1:13" x14ac:dyDescent="0.2">
      <c r="A9" s="55" t="s">
        <v>27</v>
      </c>
      <c r="B9" s="55" t="s">
        <v>14</v>
      </c>
      <c r="C9" s="55" t="s">
        <v>933</v>
      </c>
      <c r="D9" s="55" t="s">
        <v>23</v>
      </c>
      <c r="E9" s="55" t="s">
        <v>27</v>
      </c>
      <c r="F9" s="56">
        <v>6150</v>
      </c>
      <c r="G9" s="56" t="s">
        <v>16</v>
      </c>
      <c r="H9" s="55" t="s">
        <v>17</v>
      </c>
      <c r="I9" s="65">
        <v>0.75</v>
      </c>
      <c r="J9" s="68">
        <v>80</v>
      </c>
      <c r="K9" s="68">
        <v>532</v>
      </c>
      <c r="L9" s="68">
        <v>714</v>
      </c>
      <c r="M9" s="69">
        <v>0.85</v>
      </c>
    </row>
    <row r="10" spans="1:13" x14ac:dyDescent="0.2">
      <c r="A10" s="57" t="s">
        <v>27</v>
      </c>
      <c r="B10" s="57" t="s">
        <v>14</v>
      </c>
      <c r="C10" s="55" t="s">
        <v>933</v>
      </c>
      <c r="D10" s="57" t="s">
        <v>23</v>
      </c>
      <c r="E10" s="57" t="s">
        <v>27</v>
      </c>
      <c r="F10" s="58">
        <v>6155</v>
      </c>
      <c r="G10" s="58" t="s">
        <v>24</v>
      </c>
      <c r="H10" s="57" t="s">
        <v>17</v>
      </c>
      <c r="I10" s="66">
        <v>0.75</v>
      </c>
      <c r="J10" s="70">
        <v>80</v>
      </c>
      <c r="K10" s="70">
        <v>532</v>
      </c>
      <c r="L10" s="70">
        <v>714</v>
      </c>
      <c r="M10" s="71">
        <v>0.85</v>
      </c>
    </row>
    <row r="11" spans="1:13" x14ac:dyDescent="0.2">
      <c r="A11" s="55" t="s">
        <v>27</v>
      </c>
      <c r="B11" s="55" t="s">
        <v>14</v>
      </c>
      <c r="C11" s="55" t="s">
        <v>933</v>
      </c>
      <c r="D11" s="55" t="s">
        <v>23</v>
      </c>
      <c r="E11" s="55" t="s">
        <v>27</v>
      </c>
      <c r="F11" s="56">
        <v>6320</v>
      </c>
      <c r="G11" s="56" t="s">
        <v>25</v>
      </c>
      <c r="H11" s="55" t="s">
        <v>26</v>
      </c>
      <c r="I11" s="65">
        <v>0.9</v>
      </c>
      <c r="J11" s="68">
        <v>66</v>
      </c>
      <c r="K11" s="68">
        <v>443</v>
      </c>
      <c r="L11" s="68">
        <v>595</v>
      </c>
      <c r="M11" s="69">
        <v>0.85</v>
      </c>
    </row>
    <row r="12" spans="1:13" x14ac:dyDescent="0.2">
      <c r="A12" s="57" t="s">
        <v>28</v>
      </c>
      <c r="B12" s="57" t="s">
        <v>14</v>
      </c>
      <c r="C12" s="55" t="s">
        <v>933</v>
      </c>
      <c r="D12" s="57" t="s">
        <v>29</v>
      </c>
      <c r="E12" s="57" t="s">
        <v>28</v>
      </c>
      <c r="F12" s="58">
        <v>6150</v>
      </c>
      <c r="G12" s="58" t="s">
        <v>16</v>
      </c>
      <c r="H12" s="57" t="s">
        <v>17</v>
      </c>
      <c r="I12" s="66">
        <v>1.5</v>
      </c>
      <c r="J12" s="70">
        <v>40</v>
      </c>
      <c r="K12" s="70">
        <v>266</v>
      </c>
      <c r="L12" s="70">
        <v>357</v>
      </c>
      <c r="M12" s="71">
        <v>0.85</v>
      </c>
    </row>
    <row r="13" spans="1:13" x14ac:dyDescent="0.2">
      <c r="A13" s="55" t="s">
        <v>30</v>
      </c>
      <c r="B13" s="55" t="s">
        <v>14</v>
      </c>
      <c r="C13" s="55" t="s">
        <v>933</v>
      </c>
      <c r="D13" s="55" t="s">
        <v>31</v>
      </c>
      <c r="E13" s="55" t="s">
        <v>30</v>
      </c>
      <c r="F13" s="56">
        <v>6155</v>
      </c>
      <c r="G13" s="56" t="s">
        <v>24</v>
      </c>
      <c r="H13" s="55" t="s">
        <v>17</v>
      </c>
      <c r="I13" s="65">
        <v>1.88</v>
      </c>
      <c r="J13" s="68">
        <v>32</v>
      </c>
      <c r="K13" s="68">
        <v>213</v>
      </c>
      <c r="L13" s="68">
        <v>285</v>
      </c>
      <c r="M13" s="69">
        <v>0.85</v>
      </c>
    </row>
    <row r="14" spans="1:13" x14ac:dyDescent="0.2">
      <c r="A14" s="57" t="s">
        <v>32</v>
      </c>
      <c r="B14" s="57" t="s">
        <v>14</v>
      </c>
      <c r="C14" s="55" t="s">
        <v>933</v>
      </c>
      <c r="D14" s="57" t="s">
        <v>21</v>
      </c>
      <c r="E14" s="57" t="s">
        <v>32</v>
      </c>
      <c r="F14" s="58">
        <v>6155</v>
      </c>
      <c r="G14" s="58" t="s">
        <v>24</v>
      </c>
      <c r="H14" s="57" t="s">
        <v>17</v>
      </c>
      <c r="I14" s="66">
        <v>1.58</v>
      </c>
      <c r="J14" s="70">
        <v>38</v>
      </c>
      <c r="K14" s="70">
        <v>253</v>
      </c>
      <c r="L14" s="70">
        <v>339</v>
      </c>
      <c r="M14" s="71">
        <v>0.85</v>
      </c>
    </row>
    <row r="15" spans="1:13" x14ac:dyDescent="0.2">
      <c r="A15" s="55" t="s">
        <v>33</v>
      </c>
      <c r="B15" s="55" t="s">
        <v>14</v>
      </c>
      <c r="C15" s="55" t="s">
        <v>933</v>
      </c>
      <c r="D15" s="55" t="s">
        <v>29</v>
      </c>
      <c r="E15" s="55" t="s">
        <v>33</v>
      </c>
      <c r="F15" s="56">
        <v>6155</v>
      </c>
      <c r="G15" s="56" t="s">
        <v>24</v>
      </c>
      <c r="H15" s="55" t="s">
        <v>17</v>
      </c>
      <c r="I15" s="65">
        <v>1.88</v>
      </c>
      <c r="J15" s="68">
        <v>32</v>
      </c>
      <c r="K15" s="68">
        <v>213</v>
      </c>
      <c r="L15" s="68">
        <v>285</v>
      </c>
      <c r="M15" s="69">
        <v>0.85</v>
      </c>
    </row>
    <row r="16" spans="1:13" x14ac:dyDescent="0.2">
      <c r="A16" s="57" t="s">
        <v>34</v>
      </c>
      <c r="B16" s="57" t="s">
        <v>14</v>
      </c>
      <c r="C16" s="55" t="s">
        <v>933</v>
      </c>
      <c r="D16" s="57" t="s">
        <v>31</v>
      </c>
      <c r="E16" s="57" t="s">
        <v>34</v>
      </c>
      <c r="F16" s="58">
        <v>6601</v>
      </c>
      <c r="G16" s="58" t="s">
        <v>35</v>
      </c>
      <c r="H16" s="57" t="s">
        <v>36</v>
      </c>
      <c r="I16" s="66">
        <v>1.33</v>
      </c>
      <c r="J16" s="70">
        <v>45</v>
      </c>
      <c r="K16" s="70">
        <v>299</v>
      </c>
      <c r="L16" s="70">
        <v>401</v>
      </c>
      <c r="M16" s="71">
        <v>0.85</v>
      </c>
    </row>
    <row r="17" spans="1:13" x14ac:dyDescent="0.2">
      <c r="A17" s="55" t="s">
        <v>37</v>
      </c>
      <c r="B17" s="55" t="s">
        <v>14</v>
      </c>
      <c r="C17" s="55" t="s">
        <v>933</v>
      </c>
      <c r="D17" s="55" t="s">
        <v>38</v>
      </c>
      <c r="E17" s="55" t="s">
        <v>37</v>
      </c>
      <c r="F17" s="56">
        <v>5926</v>
      </c>
      <c r="G17" s="56" t="s">
        <v>39</v>
      </c>
      <c r="H17" s="55" t="s">
        <v>40</v>
      </c>
      <c r="I17" s="65">
        <v>2.86</v>
      </c>
      <c r="J17" s="68">
        <v>21</v>
      </c>
      <c r="K17" s="68">
        <v>139</v>
      </c>
      <c r="L17" s="68">
        <v>187</v>
      </c>
      <c r="M17" s="69">
        <v>0.85</v>
      </c>
    </row>
    <row r="18" spans="1:13" x14ac:dyDescent="0.2">
      <c r="A18" s="57" t="s">
        <v>41</v>
      </c>
      <c r="B18" s="57" t="s">
        <v>14</v>
      </c>
      <c r="C18" s="55" t="s">
        <v>933</v>
      </c>
      <c r="D18" s="57" t="s">
        <v>38</v>
      </c>
      <c r="E18" s="57" t="s">
        <v>41</v>
      </c>
      <c r="F18" s="58">
        <v>6151</v>
      </c>
      <c r="G18" s="58" t="s">
        <v>42</v>
      </c>
      <c r="H18" s="57" t="s">
        <v>43</v>
      </c>
      <c r="I18" s="66">
        <v>2.31</v>
      </c>
      <c r="J18" s="70">
        <v>26</v>
      </c>
      <c r="K18" s="70">
        <v>173</v>
      </c>
      <c r="L18" s="70">
        <v>232</v>
      </c>
      <c r="M18" s="71">
        <v>0.85</v>
      </c>
    </row>
    <row r="19" spans="1:13" x14ac:dyDescent="0.2">
      <c r="A19" s="55" t="s">
        <v>41</v>
      </c>
      <c r="B19" s="55" t="s">
        <v>14</v>
      </c>
      <c r="C19" s="55" t="s">
        <v>933</v>
      </c>
      <c r="D19" s="55" t="s">
        <v>38</v>
      </c>
      <c r="E19" s="55" t="s">
        <v>41</v>
      </c>
      <c r="F19" s="56">
        <v>6152</v>
      </c>
      <c r="G19" s="56" t="s">
        <v>44</v>
      </c>
      <c r="H19" s="55" t="s">
        <v>43</v>
      </c>
      <c r="I19" s="65">
        <v>2.86</v>
      </c>
      <c r="J19" s="68">
        <v>21</v>
      </c>
      <c r="K19" s="68">
        <v>139</v>
      </c>
      <c r="L19" s="68">
        <v>187</v>
      </c>
      <c r="M19" s="69">
        <v>0.85</v>
      </c>
    </row>
    <row r="20" spans="1:13" x14ac:dyDescent="0.2">
      <c r="A20" s="57" t="s">
        <v>45</v>
      </c>
      <c r="B20" s="57" t="s">
        <v>14</v>
      </c>
      <c r="C20" s="55" t="s">
        <v>933</v>
      </c>
      <c r="D20" s="57" t="s">
        <v>38</v>
      </c>
      <c r="E20" s="57" t="s">
        <v>45</v>
      </c>
      <c r="F20" s="58">
        <v>6113</v>
      </c>
      <c r="G20" s="58" t="s">
        <v>46</v>
      </c>
      <c r="H20" s="57" t="s">
        <v>47</v>
      </c>
      <c r="I20" s="66">
        <v>1.43</v>
      </c>
      <c r="J20" s="70">
        <v>42</v>
      </c>
      <c r="K20" s="70">
        <v>279</v>
      </c>
      <c r="L20" s="70">
        <v>374</v>
      </c>
      <c r="M20" s="71">
        <v>0.85</v>
      </c>
    </row>
    <row r="21" spans="1:13" x14ac:dyDescent="0.2">
      <c r="A21" s="55" t="s">
        <v>45</v>
      </c>
      <c r="B21" s="55" t="s">
        <v>14</v>
      </c>
      <c r="C21" s="55" t="s">
        <v>933</v>
      </c>
      <c r="D21" s="55" t="s">
        <v>38</v>
      </c>
      <c r="E21" s="55" t="s">
        <v>45</v>
      </c>
      <c r="F21" s="56">
        <v>5705</v>
      </c>
      <c r="G21" s="56" t="s">
        <v>48</v>
      </c>
      <c r="H21" s="55" t="s">
        <v>49</v>
      </c>
      <c r="I21" s="65">
        <v>2.4</v>
      </c>
      <c r="J21" s="68">
        <v>25</v>
      </c>
      <c r="K21" s="68">
        <v>166</v>
      </c>
      <c r="L21" s="68">
        <v>223</v>
      </c>
      <c r="M21" s="69">
        <v>0.85</v>
      </c>
    </row>
    <row r="22" spans="1:13" x14ac:dyDescent="0.2">
      <c r="A22" s="57" t="s">
        <v>45</v>
      </c>
      <c r="B22" s="57" t="s">
        <v>14</v>
      </c>
      <c r="C22" s="55" t="s">
        <v>933</v>
      </c>
      <c r="D22" s="57" t="s">
        <v>38</v>
      </c>
      <c r="E22" s="57" t="s">
        <v>45</v>
      </c>
      <c r="F22" s="58">
        <v>5703</v>
      </c>
      <c r="G22" s="58" t="s">
        <v>50</v>
      </c>
      <c r="H22" s="57" t="s">
        <v>49</v>
      </c>
      <c r="I22" s="66">
        <v>2.4</v>
      </c>
      <c r="J22" s="70">
        <v>25</v>
      </c>
      <c r="K22" s="70">
        <v>166</v>
      </c>
      <c r="L22" s="70">
        <v>223</v>
      </c>
      <c r="M22" s="71">
        <v>0.85</v>
      </c>
    </row>
    <row r="23" spans="1:13" x14ac:dyDescent="0.2">
      <c r="A23" s="55" t="s">
        <v>45</v>
      </c>
      <c r="B23" s="55" t="s">
        <v>14</v>
      </c>
      <c r="C23" s="55" t="s">
        <v>933</v>
      </c>
      <c r="D23" s="55" t="s">
        <v>38</v>
      </c>
      <c r="E23" s="55" t="s">
        <v>45</v>
      </c>
      <c r="F23" s="56">
        <v>5709</v>
      </c>
      <c r="G23" s="56" t="s">
        <v>51</v>
      </c>
      <c r="H23" s="55" t="s">
        <v>49</v>
      </c>
      <c r="I23" s="65">
        <v>3.33</v>
      </c>
      <c r="J23" s="68">
        <v>18</v>
      </c>
      <c r="K23" s="68">
        <v>119</v>
      </c>
      <c r="L23" s="68">
        <v>160</v>
      </c>
      <c r="M23" s="69">
        <v>0.85</v>
      </c>
    </row>
    <row r="24" spans="1:13" x14ac:dyDescent="0.2">
      <c r="A24" s="57" t="s">
        <v>45</v>
      </c>
      <c r="B24" s="57" t="s">
        <v>14</v>
      </c>
      <c r="C24" s="55" t="s">
        <v>933</v>
      </c>
      <c r="D24" s="57" t="s">
        <v>38</v>
      </c>
      <c r="E24" s="57" t="s">
        <v>45</v>
      </c>
      <c r="F24" s="58">
        <v>6151</v>
      </c>
      <c r="G24" s="58" t="s">
        <v>42</v>
      </c>
      <c r="H24" s="57" t="s">
        <v>43</v>
      </c>
      <c r="I24" s="66">
        <v>2.31</v>
      </c>
      <c r="J24" s="70">
        <v>26</v>
      </c>
      <c r="K24" s="70">
        <v>173</v>
      </c>
      <c r="L24" s="70">
        <v>232</v>
      </c>
      <c r="M24" s="71">
        <v>0.85</v>
      </c>
    </row>
    <row r="25" spans="1:13" x14ac:dyDescent="0.2">
      <c r="A25" s="55" t="s">
        <v>52</v>
      </c>
      <c r="B25" s="55" t="s">
        <v>14</v>
      </c>
      <c r="C25" s="55" t="s">
        <v>933</v>
      </c>
      <c r="D25" s="55" t="s">
        <v>38</v>
      </c>
      <c r="E25" s="55" t="s">
        <v>52</v>
      </c>
      <c r="F25" s="56">
        <v>6148</v>
      </c>
      <c r="G25" s="56" t="s">
        <v>53</v>
      </c>
      <c r="H25" s="55" t="s">
        <v>47</v>
      </c>
      <c r="I25" s="65">
        <v>2.86</v>
      </c>
      <c r="J25" s="68">
        <v>21</v>
      </c>
      <c r="K25" s="68">
        <v>139</v>
      </c>
      <c r="L25" s="68">
        <v>187</v>
      </c>
      <c r="M25" s="69">
        <v>0.85</v>
      </c>
    </row>
    <row r="26" spans="1:13" x14ac:dyDescent="0.2">
      <c r="A26" s="57" t="s">
        <v>52</v>
      </c>
      <c r="B26" s="57" t="s">
        <v>14</v>
      </c>
      <c r="C26" s="55" t="s">
        <v>933</v>
      </c>
      <c r="D26" s="57" t="s">
        <v>38</v>
      </c>
      <c r="E26" s="57" t="s">
        <v>52</v>
      </c>
      <c r="F26" s="58">
        <v>6149</v>
      </c>
      <c r="G26" s="58" t="s">
        <v>54</v>
      </c>
      <c r="H26" s="57" t="s">
        <v>47</v>
      </c>
      <c r="I26" s="66">
        <v>2.86</v>
      </c>
      <c r="J26" s="70">
        <v>21</v>
      </c>
      <c r="K26" s="70">
        <v>139</v>
      </c>
      <c r="L26" s="70">
        <v>187</v>
      </c>
      <c r="M26" s="71">
        <v>0.85</v>
      </c>
    </row>
    <row r="27" spans="1:13" x14ac:dyDescent="0.2">
      <c r="A27" s="55" t="s">
        <v>52</v>
      </c>
      <c r="B27" s="55" t="s">
        <v>14</v>
      </c>
      <c r="C27" s="55" t="s">
        <v>933</v>
      </c>
      <c r="D27" s="55" t="s">
        <v>38</v>
      </c>
      <c r="E27" s="55" t="s">
        <v>52</v>
      </c>
      <c r="F27" s="56">
        <v>5517</v>
      </c>
      <c r="G27" s="56" t="s">
        <v>55</v>
      </c>
      <c r="H27" s="55" t="s">
        <v>40</v>
      </c>
      <c r="I27" s="65">
        <v>4.29</v>
      </c>
      <c r="J27" s="68">
        <v>14</v>
      </c>
      <c r="K27" s="68">
        <v>93</v>
      </c>
      <c r="L27" s="68">
        <v>124</v>
      </c>
      <c r="M27" s="69">
        <v>0.85</v>
      </c>
    </row>
    <row r="28" spans="1:13" x14ac:dyDescent="0.2">
      <c r="A28" s="57" t="s">
        <v>52</v>
      </c>
      <c r="B28" s="57" t="s">
        <v>14</v>
      </c>
      <c r="C28" s="55" t="s">
        <v>933</v>
      </c>
      <c r="D28" s="57" t="s">
        <v>38</v>
      </c>
      <c r="E28" s="57" t="s">
        <v>52</v>
      </c>
      <c r="F28" s="58">
        <v>5703</v>
      </c>
      <c r="G28" s="58" t="s">
        <v>50</v>
      </c>
      <c r="H28" s="57" t="s">
        <v>49</v>
      </c>
      <c r="I28" s="66">
        <v>1.1499999999999999</v>
      </c>
      <c r="J28" s="70">
        <v>52</v>
      </c>
      <c r="K28" s="70">
        <v>346</v>
      </c>
      <c r="L28" s="70">
        <v>464</v>
      </c>
      <c r="M28" s="71">
        <v>0.85</v>
      </c>
    </row>
    <row r="29" spans="1:13" x14ac:dyDescent="0.2">
      <c r="A29" s="55" t="s">
        <v>52</v>
      </c>
      <c r="B29" s="55" t="s">
        <v>14</v>
      </c>
      <c r="C29" s="55" t="s">
        <v>933</v>
      </c>
      <c r="D29" s="55" t="s">
        <v>38</v>
      </c>
      <c r="E29" s="55" t="s">
        <v>52</v>
      </c>
      <c r="F29" s="56">
        <v>5705</v>
      </c>
      <c r="G29" s="56" t="s">
        <v>48</v>
      </c>
      <c r="H29" s="55" t="s">
        <v>49</v>
      </c>
      <c r="I29" s="65">
        <v>1.1499999999999999</v>
      </c>
      <c r="J29" s="68">
        <v>52</v>
      </c>
      <c r="K29" s="68">
        <v>346</v>
      </c>
      <c r="L29" s="68">
        <v>464</v>
      </c>
      <c r="M29" s="69">
        <v>0.85</v>
      </c>
    </row>
    <row r="30" spans="1:13" x14ac:dyDescent="0.2">
      <c r="A30" s="57" t="s">
        <v>52</v>
      </c>
      <c r="B30" s="57" t="s">
        <v>14</v>
      </c>
      <c r="C30" s="55" t="s">
        <v>933</v>
      </c>
      <c r="D30" s="57" t="s">
        <v>38</v>
      </c>
      <c r="E30" s="57" t="s">
        <v>52</v>
      </c>
      <c r="F30" s="58">
        <v>5709</v>
      </c>
      <c r="G30" s="58" t="s">
        <v>51</v>
      </c>
      <c r="H30" s="57" t="s">
        <v>49</v>
      </c>
      <c r="I30" s="66">
        <v>1.76</v>
      </c>
      <c r="J30" s="70">
        <v>34</v>
      </c>
      <c r="K30" s="70">
        <v>226</v>
      </c>
      <c r="L30" s="70">
        <v>303</v>
      </c>
      <c r="M30" s="71">
        <v>0.85</v>
      </c>
    </row>
    <row r="31" spans="1:13" x14ac:dyDescent="0.2">
      <c r="A31" s="55" t="s">
        <v>52</v>
      </c>
      <c r="B31" s="55" t="s">
        <v>14</v>
      </c>
      <c r="C31" s="55" t="s">
        <v>933</v>
      </c>
      <c r="D31" s="55" t="s">
        <v>38</v>
      </c>
      <c r="E31" s="55" t="s">
        <v>52</v>
      </c>
      <c r="F31" s="56">
        <v>5203</v>
      </c>
      <c r="G31" s="56" t="s">
        <v>56</v>
      </c>
      <c r="H31" s="55" t="s">
        <v>57</v>
      </c>
      <c r="I31" s="65">
        <v>2.5</v>
      </c>
      <c r="J31" s="68">
        <v>24</v>
      </c>
      <c r="K31" s="68">
        <v>159</v>
      </c>
      <c r="L31" s="68">
        <v>214</v>
      </c>
      <c r="M31" s="69">
        <v>0.85</v>
      </c>
    </row>
    <row r="32" spans="1:13" x14ac:dyDescent="0.2">
      <c r="A32" s="57" t="s">
        <v>52</v>
      </c>
      <c r="B32" s="57" t="s">
        <v>14</v>
      </c>
      <c r="C32" s="55" t="s">
        <v>933</v>
      </c>
      <c r="D32" s="57" t="s">
        <v>38</v>
      </c>
      <c r="E32" s="57" t="s">
        <v>52</v>
      </c>
      <c r="F32" s="58">
        <v>6151</v>
      </c>
      <c r="G32" s="58" t="s">
        <v>42</v>
      </c>
      <c r="H32" s="57" t="s">
        <v>43</v>
      </c>
      <c r="I32" s="66">
        <v>1.33</v>
      </c>
      <c r="J32" s="70">
        <v>45</v>
      </c>
      <c r="K32" s="70">
        <v>299</v>
      </c>
      <c r="L32" s="70">
        <v>401</v>
      </c>
      <c r="M32" s="71">
        <v>0.85</v>
      </c>
    </row>
    <row r="33" spans="1:13" x14ac:dyDescent="0.2">
      <c r="A33" s="55" t="s">
        <v>58</v>
      </c>
      <c r="B33" s="55" t="s">
        <v>14</v>
      </c>
      <c r="C33" s="55" t="s">
        <v>933</v>
      </c>
      <c r="D33" s="55" t="s">
        <v>59</v>
      </c>
      <c r="E33" s="55" t="s">
        <v>58</v>
      </c>
      <c r="F33" s="56">
        <v>5703</v>
      </c>
      <c r="G33" s="56" t="s">
        <v>50</v>
      </c>
      <c r="H33" s="55" t="s">
        <v>49</v>
      </c>
      <c r="I33" s="65">
        <v>1.1499999999999999</v>
      </c>
      <c r="J33" s="68">
        <v>52</v>
      </c>
      <c r="K33" s="68">
        <v>346</v>
      </c>
      <c r="L33" s="68">
        <v>464</v>
      </c>
      <c r="M33" s="69">
        <v>0.85</v>
      </c>
    </row>
    <row r="34" spans="1:13" x14ac:dyDescent="0.2">
      <c r="A34" s="57" t="s">
        <v>58</v>
      </c>
      <c r="B34" s="57" t="s">
        <v>14</v>
      </c>
      <c r="C34" s="55" t="s">
        <v>933</v>
      </c>
      <c r="D34" s="57" t="s">
        <v>59</v>
      </c>
      <c r="E34" s="57" t="s">
        <v>58</v>
      </c>
      <c r="F34" s="58">
        <v>5705</v>
      </c>
      <c r="G34" s="58" t="s">
        <v>48</v>
      </c>
      <c r="H34" s="57" t="s">
        <v>49</v>
      </c>
      <c r="I34" s="66">
        <v>1.1499999999999999</v>
      </c>
      <c r="J34" s="70">
        <v>52</v>
      </c>
      <c r="K34" s="70">
        <v>346</v>
      </c>
      <c r="L34" s="70">
        <v>464</v>
      </c>
      <c r="M34" s="71">
        <v>0.85</v>
      </c>
    </row>
    <row r="35" spans="1:13" x14ac:dyDescent="0.2">
      <c r="A35" s="55" t="s">
        <v>58</v>
      </c>
      <c r="B35" s="55" t="s">
        <v>14</v>
      </c>
      <c r="C35" s="55" t="s">
        <v>933</v>
      </c>
      <c r="D35" s="55" t="s">
        <v>59</v>
      </c>
      <c r="E35" s="55" t="s">
        <v>58</v>
      </c>
      <c r="F35" s="56">
        <v>5709</v>
      </c>
      <c r="G35" s="56" t="s">
        <v>51</v>
      </c>
      <c r="H35" s="55" t="s">
        <v>49</v>
      </c>
      <c r="I35" s="65">
        <v>1.76</v>
      </c>
      <c r="J35" s="68">
        <v>34</v>
      </c>
      <c r="K35" s="68">
        <v>226</v>
      </c>
      <c r="L35" s="68">
        <v>303</v>
      </c>
      <c r="M35" s="69">
        <v>0.85</v>
      </c>
    </row>
    <row r="36" spans="1:13" x14ac:dyDescent="0.2">
      <c r="A36" s="57" t="s">
        <v>58</v>
      </c>
      <c r="B36" s="57" t="s">
        <v>14</v>
      </c>
      <c r="C36" s="55" t="s">
        <v>933</v>
      </c>
      <c r="D36" s="57" t="s">
        <v>59</v>
      </c>
      <c r="E36" s="57" t="s">
        <v>58</v>
      </c>
      <c r="F36" s="58">
        <v>5203</v>
      </c>
      <c r="G36" s="58" t="s">
        <v>56</v>
      </c>
      <c r="H36" s="57" t="s">
        <v>57</v>
      </c>
      <c r="I36" s="66">
        <v>2.5</v>
      </c>
      <c r="J36" s="70">
        <v>24</v>
      </c>
      <c r="K36" s="70">
        <v>159</v>
      </c>
      <c r="L36" s="70">
        <v>214</v>
      </c>
      <c r="M36" s="71">
        <v>0.85</v>
      </c>
    </row>
    <row r="37" spans="1:13" x14ac:dyDescent="0.2">
      <c r="A37" s="55" t="s">
        <v>60</v>
      </c>
      <c r="B37" s="55" t="s">
        <v>14</v>
      </c>
      <c r="C37" s="55" t="s">
        <v>933</v>
      </c>
      <c r="D37" s="55"/>
      <c r="E37" s="55" t="s">
        <v>60</v>
      </c>
      <c r="F37" s="56">
        <v>6151</v>
      </c>
      <c r="G37" s="56" t="s">
        <v>42</v>
      </c>
      <c r="H37" s="55" t="s">
        <v>43</v>
      </c>
      <c r="I37" s="65">
        <v>1.33</v>
      </c>
      <c r="J37" s="68">
        <v>45</v>
      </c>
      <c r="K37" s="68">
        <v>299</v>
      </c>
      <c r="L37" s="68">
        <v>401</v>
      </c>
      <c r="M37" s="69">
        <v>0.85</v>
      </c>
    </row>
    <row r="38" spans="1:13" x14ac:dyDescent="0.2">
      <c r="A38" s="57" t="s">
        <v>61</v>
      </c>
      <c r="B38" s="57" t="s">
        <v>14</v>
      </c>
      <c r="C38" s="55" t="s">
        <v>933</v>
      </c>
      <c r="D38" s="57" t="s">
        <v>62</v>
      </c>
      <c r="E38" s="57" t="s">
        <v>61</v>
      </c>
      <c r="F38" s="58">
        <v>6415</v>
      </c>
      <c r="G38" s="58" t="s">
        <v>63</v>
      </c>
      <c r="H38" s="57" t="s">
        <v>47</v>
      </c>
      <c r="I38" s="66">
        <v>5</v>
      </c>
      <c r="J38" s="70">
        <v>12</v>
      </c>
      <c r="K38" s="70">
        <v>79</v>
      </c>
      <c r="L38" s="70">
        <v>107</v>
      </c>
      <c r="M38" s="71">
        <v>0.85</v>
      </c>
    </row>
    <row r="39" spans="1:13" x14ac:dyDescent="0.2">
      <c r="A39" s="55" t="s">
        <v>61</v>
      </c>
      <c r="B39" s="55" t="s">
        <v>14</v>
      </c>
      <c r="C39" s="55" t="s">
        <v>933</v>
      </c>
      <c r="D39" s="55" t="s">
        <v>62</v>
      </c>
      <c r="E39" s="55" t="s">
        <v>61</v>
      </c>
      <c r="F39" s="56">
        <v>5813</v>
      </c>
      <c r="G39" s="56" t="s">
        <v>64</v>
      </c>
      <c r="H39" s="55" t="s">
        <v>57</v>
      </c>
      <c r="I39" s="65">
        <v>2.14</v>
      </c>
      <c r="J39" s="68">
        <v>28</v>
      </c>
      <c r="K39" s="68">
        <v>186</v>
      </c>
      <c r="L39" s="68">
        <v>249</v>
      </c>
      <c r="M39" s="69">
        <v>0.85</v>
      </c>
    </row>
    <row r="40" spans="1:13" x14ac:dyDescent="0.2">
      <c r="A40" s="57" t="s">
        <v>61</v>
      </c>
      <c r="B40" s="57" t="s">
        <v>14</v>
      </c>
      <c r="C40" s="55" t="s">
        <v>933</v>
      </c>
      <c r="D40" s="57" t="s">
        <v>62</v>
      </c>
      <c r="E40" s="57" t="s">
        <v>61</v>
      </c>
      <c r="F40" s="58">
        <v>5814</v>
      </c>
      <c r="G40" s="58" t="s">
        <v>65</v>
      </c>
      <c r="H40" s="57" t="s">
        <v>57</v>
      </c>
      <c r="I40" s="66">
        <v>1.76</v>
      </c>
      <c r="J40" s="70">
        <v>34</v>
      </c>
      <c r="K40" s="70">
        <v>226</v>
      </c>
      <c r="L40" s="70">
        <v>303</v>
      </c>
      <c r="M40" s="71">
        <v>0.85</v>
      </c>
    </row>
    <row r="41" spans="1:13" x14ac:dyDescent="0.2">
      <c r="A41" s="55" t="s">
        <v>61</v>
      </c>
      <c r="B41" s="55" t="s">
        <v>14</v>
      </c>
      <c r="C41" s="55" t="s">
        <v>933</v>
      </c>
      <c r="D41" s="55" t="s">
        <v>62</v>
      </c>
      <c r="E41" s="55" t="s">
        <v>61</v>
      </c>
      <c r="F41" s="56">
        <v>5246</v>
      </c>
      <c r="G41" s="56" t="s">
        <v>66</v>
      </c>
      <c r="H41" s="55" t="s">
        <v>26</v>
      </c>
      <c r="I41" s="65">
        <v>1.76</v>
      </c>
      <c r="J41" s="68">
        <v>34</v>
      </c>
      <c r="K41" s="68">
        <v>226</v>
      </c>
      <c r="L41" s="68">
        <v>303</v>
      </c>
      <c r="M41" s="69">
        <v>0.85</v>
      </c>
    </row>
    <row r="42" spans="1:13" x14ac:dyDescent="0.2">
      <c r="A42" s="57" t="s">
        <v>61</v>
      </c>
      <c r="B42" s="57" t="s">
        <v>14</v>
      </c>
      <c r="C42" s="55" t="s">
        <v>933</v>
      </c>
      <c r="D42" s="57" t="s">
        <v>62</v>
      </c>
      <c r="E42" s="57" t="s">
        <v>61</v>
      </c>
      <c r="F42" s="58">
        <v>5529</v>
      </c>
      <c r="G42" s="58" t="s">
        <v>67</v>
      </c>
      <c r="H42" s="57" t="s">
        <v>57</v>
      </c>
      <c r="I42" s="66">
        <v>2.14</v>
      </c>
      <c r="J42" s="70">
        <v>28</v>
      </c>
      <c r="K42" s="70">
        <v>186</v>
      </c>
      <c r="L42" s="70">
        <v>249</v>
      </c>
      <c r="M42" s="71">
        <v>0.85</v>
      </c>
    </row>
    <row r="43" spans="1:13" x14ac:dyDescent="0.2">
      <c r="A43" s="55" t="s">
        <v>61</v>
      </c>
      <c r="B43" s="55" t="s">
        <v>14</v>
      </c>
      <c r="C43" s="55" t="s">
        <v>933</v>
      </c>
      <c r="D43" s="55" t="s">
        <v>62</v>
      </c>
      <c r="E43" s="55" t="s">
        <v>61</v>
      </c>
      <c r="F43" s="56">
        <v>5202</v>
      </c>
      <c r="G43" s="56" t="s">
        <v>68</v>
      </c>
      <c r="H43" s="55" t="s">
        <v>57</v>
      </c>
      <c r="I43" s="65">
        <v>1.36</v>
      </c>
      <c r="J43" s="68">
        <v>44</v>
      </c>
      <c r="K43" s="68">
        <v>292</v>
      </c>
      <c r="L43" s="68">
        <v>392</v>
      </c>
      <c r="M43" s="69">
        <v>0.85</v>
      </c>
    </row>
    <row r="44" spans="1:13" x14ac:dyDescent="0.2">
      <c r="A44" s="57" t="s">
        <v>61</v>
      </c>
      <c r="B44" s="57" t="s">
        <v>14</v>
      </c>
      <c r="C44" s="55" t="s">
        <v>933</v>
      </c>
      <c r="D44" s="57" t="s">
        <v>62</v>
      </c>
      <c r="E44" s="57" t="s">
        <v>61</v>
      </c>
      <c r="F44" s="58">
        <v>6153</v>
      </c>
      <c r="G44" s="58" t="s">
        <v>69</v>
      </c>
      <c r="H44" s="57" t="s">
        <v>57</v>
      </c>
      <c r="I44" s="66">
        <v>1.36</v>
      </c>
      <c r="J44" s="70">
        <v>44</v>
      </c>
      <c r="K44" s="70">
        <v>292</v>
      </c>
      <c r="L44" s="70">
        <v>392</v>
      </c>
      <c r="M44" s="71">
        <v>0.85</v>
      </c>
    </row>
    <row r="45" spans="1:13" x14ac:dyDescent="0.2">
      <c r="A45" s="55" t="s">
        <v>61</v>
      </c>
      <c r="B45" s="55" t="s">
        <v>14</v>
      </c>
      <c r="C45" s="55" t="s">
        <v>933</v>
      </c>
      <c r="D45" s="55" t="s">
        <v>62</v>
      </c>
      <c r="E45" s="55" t="s">
        <v>61</v>
      </c>
      <c r="F45" s="56">
        <v>5901</v>
      </c>
      <c r="G45" s="56" t="s">
        <v>70</v>
      </c>
      <c r="H45" s="55" t="s">
        <v>57</v>
      </c>
      <c r="I45" s="65">
        <v>1.36</v>
      </c>
      <c r="J45" s="68">
        <v>44</v>
      </c>
      <c r="K45" s="68">
        <v>292</v>
      </c>
      <c r="L45" s="68">
        <v>392</v>
      </c>
      <c r="M45" s="69">
        <v>0.85</v>
      </c>
    </row>
    <row r="46" spans="1:13" ht="24" x14ac:dyDescent="0.2">
      <c r="A46" s="57" t="s">
        <v>71</v>
      </c>
      <c r="B46" s="57" t="s">
        <v>14</v>
      </c>
      <c r="C46" s="55" t="s">
        <v>933</v>
      </c>
      <c r="D46" s="57"/>
      <c r="E46" s="57" t="s">
        <v>71</v>
      </c>
      <c r="F46" s="58">
        <v>5811</v>
      </c>
      <c r="G46" s="58" t="s">
        <v>72</v>
      </c>
      <c r="H46" s="57" t="s">
        <v>73</v>
      </c>
      <c r="I46" s="66">
        <v>2</v>
      </c>
      <c r="J46" s="70">
        <v>30</v>
      </c>
      <c r="K46" s="70">
        <v>199</v>
      </c>
      <c r="L46" s="70">
        <v>267</v>
      </c>
      <c r="M46" s="71">
        <v>0.85</v>
      </c>
    </row>
    <row r="47" spans="1:13" x14ac:dyDescent="0.2">
      <c r="A47" s="55" t="s">
        <v>71</v>
      </c>
      <c r="B47" s="55" t="s">
        <v>14</v>
      </c>
      <c r="C47" s="55" t="s">
        <v>933</v>
      </c>
      <c r="D47" s="55"/>
      <c r="E47" s="55" t="s">
        <v>71</v>
      </c>
      <c r="F47" s="56">
        <v>5812</v>
      </c>
      <c r="G47" s="56" t="s">
        <v>74</v>
      </c>
      <c r="H47" s="55" t="s">
        <v>73</v>
      </c>
      <c r="I47" s="65">
        <v>2</v>
      </c>
      <c r="J47" s="68">
        <v>30</v>
      </c>
      <c r="K47" s="68">
        <v>199</v>
      </c>
      <c r="L47" s="68">
        <v>267</v>
      </c>
      <c r="M47" s="69">
        <v>0.85</v>
      </c>
    </row>
    <row r="48" spans="1:13" x14ac:dyDescent="0.2">
      <c r="A48" s="57" t="s">
        <v>71</v>
      </c>
      <c r="B48" s="57" t="s">
        <v>14</v>
      </c>
      <c r="C48" s="55" t="s">
        <v>933</v>
      </c>
      <c r="D48" s="57"/>
      <c r="E48" s="57" t="s">
        <v>71</v>
      </c>
      <c r="F48" s="58">
        <v>6163</v>
      </c>
      <c r="G48" s="58" t="s">
        <v>75</v>
      </c>
      <c r="H48" s="57" t="s">
        <v>73</v>
      </c>
      <c r="I48" s="66">
        <v>3</v>
      </c>
      <c r="J48" s="70">
        <v>20</v>
      </c>
      <c r="K48" s="70">
        <v>133</v>
      </c>
      <c r="L48" s="70">
        <v>178</v>
      </c>
      <c r="M48" s="71">
        <v>0.85</v>
      </c>
    </row>
    <row r="49" spans="1:13" x14ac:dyDescent="0.2">
      <c r="A49" s="55" t="s">
        <v>76</v>
      </c>
      <c r="B49" s="55" t="s">
        <v>14</v>
      </c>
      <c r="C49" s="55" t="s">
        <v>933</v>
      </c>
      <c r="D49" s="55"/>
      <c r="E49" s="55" t="s">
        <v>76</v>
      </c>
      <c r="F49" s="56">
        <v>6150</v>
      </c>
      <c r="G49" s="56" t="s">
        <v>16</v>
      </c>
      <c r="H49" s="55" t="s">
        <v>17</v>
      </c>
      <c r="I49" s="65">
        <v>2.4</v>
      </c>
      <c r="J49" s="68">
        <v>25</v>
      </c>
      <c r="K49" s="68">
        <v>166</v>
      </c>
      <c r="L49" s="68">
        <v>223</v>
      </c>
      <c r="M49" s="69">
        <v>0.85</v>
      </c>
    </row>
    <row r="50" spans="1:13" x14ac:dyDescent="0.2">
      <c r="A50" s="57" t="s">
        <v>77</v>
      </c>
      <c r="B50" s="57" t="s">
        <v>14</v>
      </c>
      <c r="C50" s="55" t="s">
        <v>933</v>
      </c>
      <c r="D50" s="57"/>
      <c r="E50" s="57" t="s">
        <v>77</v>
      </c>
      <c r="F50" s="58">
        <v>6150</v>
      </c>
      <c r="G50" s="58" t="s">
        <v>16</v>
      </c>
      <c r="H50" s="57" t="s">
        <v>17</v>
      </c>
      <c r="I50" s="66">
        <v>2.4</v>
      </c>
      <c r="J50" s="70">
        <v>25</v>
      </c>
      <c r="K50" s="70">
        <v>166</v>
      </c>
      <c r="L50" s="70">
        <v>223</v>
      </c>
      <c r="M50" s="71">
        <v>0.85</v>
      </c>
    </row>
    <row r="51" spans="1:13" x14ac:dyDescent="0.2">
      <c r="A51" s="55" t="s">
        <v>78</v>
      </c>
      <c r="B51" s="55" t="s">
        <v>14</v>
      </c>
      <c r="C51" s="55" t="s">
        <v>933</v>
      </c>
      <c r="D51" s="55"/>
      <c r="E51" s="55" t="s">
        <v>78</v>
      </c>
      <c r="F51" s="56">
        <v>6155</v>
      </c>
      <c r="G51" s="56" t="s">
        <v>24</v>
      </c>
      <c r="H51" s="55" t="s">
        <v>17</v>
      </c>
      <c r="I51" s="65">
        <v>1.47</v>
      </c>
      <c r="J51" s="68">
        <v>40</v>
      </c>
      <c r="K51" s="68">
        <v>271</v>
      </c>
      <c r="L51" s="68">
        <v>364</v>
      </c>
      <c r="M51" s="69">
        <v>0.85</v>
      </c>
    </row>
    <row r="52" spans="1:13" x14ac:dyDescent="0.2">
      <c r="A52" s="57" t="s">
        <v>79</v>
      </c>
      <c r="B52" s="57" t="s">
        <v>14</v>
      </c>
      <c r="C52" s="55" t="s">
        <v>933</v>
      </c>
      <c r="D52" s="57"/>
      <c r="E52" s="57" t="s">
        <v>79</v>
      </c>
      <c r="F52" s="58">
        <v>6149</v>
      </c>
      <c r="G52" s="58" t="s">
        <v>54</v>
      </c>
      <c r="H52" s="57" t="s">
        <v>47</v>
      </c>
      <c r="I52" s="66">
        <v>1.41</v>
      </c>
      <c r="J52" s="70">
        <v>42</v>
      </c>
      <c r="K52" s="70">
        <v>283</v>
      </c>
      <c r="L52" s="70">
        <v>379</v>
      </c>
      <c r="M52" s="71">
        <v>0.85</v>
      </c>
    </row>
    <row r="53" spans="1:13" x14ac:dyDescent="0.2">
      <c r="A53" s="55" t="s">
        <v>79</v>
      </c>
      <c r="B53" s="55" t="s">
        <v>14</v>
      </c>
      <c r="C53" s="55" t="s">
        <v>933</v>
      </c>
      <c r="D53" s="55"/>
      <c r="E53" s="55" t="s">
        <v>79</v>
      </c>
      <c r="F53" s="56">
        <v>6148</v>
      </c>
      <c r="G53" s="56" t="s">
        <v>53</v>
      </c>
      <c r="H53" s="55" t="s">
        <v>47</v>
      </c>
      <c r="I53" s="65">
        <v>1.41</v>
      </c>
      <c r="J53" s="68">
        <v>42</v>
      </c>
      <c r="K53" s="68">
        <v>283</v>
      </c>
      <c r="L53" s="68">
        <v>379</v>
      </c>
      <c r="M53" s="69">
        <v>0.85</v>
      </c>
    </row>
    <row r="54" spans="1:13" x14ac:dyDescent="0.2">
      <c r="A54" s="57" t="s">
        <v>79</v>
      </c>
      <c r="B54" s="57" t="s">
        <v>14</v>
      </c>
      <c r="C54" s="55" t="s">
        <v>933</v>
      </c>
      <c r="D54" s="57"/>
      <c r="E54" s="57" t="s">
        <v>79</v>
      </c>
      <c r="F54" s="58">
        <v>6113</v>
      </c>
      <c r="G54" s="58" t="s">
        <v>46</v>
      </c>
      <c r="H54" s="57" t="s">
        <v>47</v>
      </c>
      <c r="I54" s="66">
        <v>1.65</v>
      </c>
      <c r="J54" s="70">
        <v>36</v>
      </c>
      <c r="K54" s="70">
        <v>242</v>
      </c>
      <c r="L54" s="70">
        <v>324</v>
      </c>
      <c r="M54" s="71">
        <v>0.85</v>
      </c>
    </row>
    <row r="55" spans="1:13" x14ac:dyDescent="0.2">
      <c r="A55" s="55" t="s">
        <v>79</v>
      </c>
      <c r="B55" s="55" t="s">
        <v>14</v>
      </c>
      <c r="C55" s="55" t="s">
        <v>933</v>
      </c>
      <c r="D55" s="55"/>
      <c r="E55" s="55" t="s">
        <v>79</v>
      </c>
      <c r="F55" s="56">
        <v>6155</v>
      </c>
      <c r="G55" s="56" t="s">
        <v>24</v>
      </c>
      <c r="H55" s="55" t="s">
        <v>17</v>
      </c>
      <c r="I55" s="65"/>
      <c r="J55" s="68" t="s">
        <v>80</v>
      </c>
      <c r="K55" s="68" t="s">
        <v>80</v>
      </c>
      <c r="L55" s="68" t="s">
        <v>80</v>
      </c>
      <c r="M55" s="69">
        <v>0.85</v>
      </c>
    </row>
    <row r="56" spans="1:13" x14ac:dyDescent="0.2">
      <c r="A56" s="57" t="s">
        <v>79</v>
      </c>
      <c r="B56" s="57" t="s">
        <v>14</v>
      </c>
      <c r="C56" s="55" t="s">
        <v>933</v>
      </c>
      <c r="D56" s="57"/>
      <c r="E56" s="57" t="s">
        <v>79</v>
      </c>
      <c r="F56" s="58">
        <v>5902</v>
      </c>
      <c r="G56" s="58" t="s">
        <v>81</v>
      </c>
      <c r="H56" s="57" t="s">
        <v>82</v>
      </c>
      <c r="I56" s="66"/>
      <c r="J56" s="70" t="s">
        <v>80</v>
      </c>
      <c r="K56" s="70" t="s">
        <v>80</v>
      </c>
      <c r="L56" s="70" t="s">
        <v>80</v>
      </c>
      <c r="M56" s="71">
        <v>0.85</v>
      </c>
    </row>
    <row r="57" spans="1:13" x14ac:dyDescent="0.2">
      <c r="A57" s="55" t="s">
        <v>83</v>
      </c>
      <c r="B57" s="55" t="s">
        <v>14</v>
      </c>
      <c r="C57" s="55" t="s">
        <v>933</v>
      </c>
      <c r="D57" s="55"/>
      <c r="E57" s="55" t="s">
        <v>83</v>
      </c>
      <c r="F57" s="56">
        <v>6155</v>
      </c>
      <c r="G57" s="56" t="s">
        <v>24</v>
      </c>
      <c r="H57" s="55" t="s">
        <v>17</v>
      </c>
      <c r="I57" s="65">
        <v>2.15</v>
      </c>
      <c r="J57" s="68">
        <v>27</v>
      </c>
      <c r="K57" s="68">
        <v>185</v>
      </c>
      <c r="L57" s="68">
        <v>249</v>
      </c>
      <c r="M57" s="69">
        <v>0.85</v>
      </c>
    </row>
    <row r="58" spans="1:13" x14ac:dyDescent="0.2">
      <c r="A58" s="57" t="s">
        <v>83</v>
      </c>
      <c r="B58" s="57" t="s">
        <v>14</v>
      </c>
      <c r="C58" s="55" t="s">
        <v>933</v>
      </c>
      <c r="D58" s="57"/>
      <c r="E58" s="57" t="s">
        <v>83</v>
      </c>
      <c r="F58" s="58">
        <v>6155</v>
      </c>
      <c r="G58" s="58" t="s">
        <v>24</v>
      </c>
      <c r="H58" s="57" t="s">
        <v>17</v>
      </c>
      <c r="I58" s="66"/>
      <c r="J58" s="70" t="s">
        <v>80</v>
      </c>
      <c r="K58" s="70" t="s">
        <v>80</v>
      </c>
      <c r="L58" s="70" t="s">
        <v>80</v>
      </c>
      <c r="M58" s="71">
        <v>0.85</v>
      </c>
    </row>
    <row r="59" spans="1:13" x14ac:dyDescent="0.2">
      <c r="A59" s="57" t="s">
        <v>84</v>
      </c>
      <c r="B59" s="57" t="s">
        <v>14</v>
      </c>
      <c r="C59" s="57" t="s">
        <v>23</v>
      </c>
      <c r="D59" s="57"/>
      <c r="E59" s="57" t="s">
        <v>86</v>
      </c>
      <c r="F59" s="58">
        <v>5450</v>
      </c>
      <c r="G59" s="58" t="s">
        <v>87</v>
      </c>
      <c r="H59" s="57" t="s">
        <v>17</v>
      </c>
      <c r="I59" s="66">
        <v>1.76</v>
      </c>
      <c r="J59" s="70">
        <v>34</v>
      </c>
      <c r="K59" s="70">
        <v>213</v>
      </c>
      <c r="L59" s="70">
        <v>285</v>
      </c>
      <c r="M59" s="71">
        <v>0.8</v>
      </c>
    </row>
    <row r="60" spans="1:13" x14ac:dyDescent="0.2">
      <c r="A60" s="55" t="s">
        <v>88</v>
      </c>
      <c r="B60" s="55" t="s">
        <v>14</v>
      </c>
      <c r="C60" s="57" t="s">
        <v>23</v>
      </c>
      <c r="D60" s="55"/>
      <c r="E60" s="55" t="s">
        <v>88</v>
      </c>
      <c r="F60" s="56">
        <v>5480</v>
      </c>
      <c r="G60" s="56" t="s">
        <v>89</v>
      </c>
      <c r="H60" s="55" t="s">
        <v>17</v>
      </c>
      <c r="I60" s="65">
        <v>2.4</v>
      </c>
      <c r="J60" s="68">
        <v>25</v>
      </c>
      <c r="K60" s="68">
        <v>156</v>
      </c>
      <c r="L60" s="68">
        <v>210</v>
      </c>
      <c r="M60" s="69">
        <v>0.8</v>
      </c>
    </row>
    <row r="61" spans="1:13" x14ac:dyDescent="0.2">
      <c r="A61" s="57" t="s">
        <v>88</v>
      </c>
      <c r="B61" s="57" t="s">
        <v>14</v>
      </c>
      <c r="C61" s="57" t="s">
        <v>23</v>
      </c>
      <c r="D61" s="57"/>
      <c r="E61" s="57" t="s">
        <v>88</v>
      </c>
      <c r="F61" s="58">
        <v>6210</v>
      </c>
      <c r="G61" s="58" t="s">
        <v>90</v>
      </c>
      <c r="H61" s="57" t="s">
        <v>17</v>
      </c>
      <c r="I61" s="66">
        <v>6</v>
      </c>
      <c r="J61" s="70">
        <v>10</v>
      </c>
      <c r="K61" s="70">
        <v>62</v>
      </c>
      <c r="L61" s="70">
        <v>84</v>
      </c>
      <c r="M61" s="71">
        <v>0.8</v>
      </c>
    </row>
    <row r="62" spans="1:13" x14ac:dyDescent="0.2">
      <c r="A62" s="55" t="s">
        <v>88</v>
      </c>
      <c r="B62" s="55" t="s">
        <v>14</v>
      </c>
      <c r="C62" s="57" t="s">
        <v>23</v>
      </c>
      <c r="D62" s="55"/>
      <c r="E62" s="55" t="s">
        <v>88</v>
      </c>
      <c r="F62" s="56">
        <v>6211</v>
      </c>
      <c r="G62" s="56" t="s">
        <v>91</v>
      </c>
      <c r="H62" s="55" t="s">
        <v>17</v>
      </c>
      <c r="I62" s="65">
        <v>6</v>
      </c>
      <c r="J62" s="68">
        <v>10</v>
      </c>
      <c r="K62" s="68">
        <v>62</v>
      </c>
      <c r="L62" s="68">
        <v>84</v>
      </c>
      <c r="M62" s="69">
        <v>0.8</v>
      </c>
    </row>
    <row r="63" spans="1:13" x14ac:dyDescent="0.2">
      <c r="A63" s="57" t="s">
        <v>92</v>
      </c>
      <c r="B63" s="57" t="s">
        <v>14</v>
      </c>
      <c r="C63" s="57" t="s">
        <v>23</v>
      </c>
      <c r="D63" s="57"/>
      <c r="E63" s="57" t="s">
        <v>92</v>
      </c>
      <c r="F63" s="58">
        <v>5450</v>
      </c>
      <c r="G63" s="58" t="s">
        <v>87</v>
      </c>
      <c r="H63" s="57" t="s">
        <v>17</v>
      </c>
      <c r="I63" s="66">
        <v>1.4</v>
      </c>
      <c r="J63" s="70">
        <v>43</v>
      </c>
      <c r="K63" s="70">
        <v>269</v>
      </c>
      <c r="L63" s="70">
        <v>361</v>
      </c>
      <c r="M63" s="71">
        <v>0.8</v>
      </c>
    </row>
    <row r="64" spans="1:13" x14ac:dyDescent="0.2">
      <c r="A64" s="55" t="s">
        <v>93</v>
      </c>
      <c r="B64" s="55" t="s">
        <v>14</v>
      </c>
      <c r="C64" s="57" t="s">
        <v>23</v>
      </c>
      <c r="D64" s="55"/>
      <c r="E64" s="55" t="s">
        <v>93</v>
      </c>
      <c r="F64" s="56">
        <v>5480</v>
      </c>
      <c r="G64" s="56" t="s">
        <v>89</v>
      </c>
      <c r="H64" s="55" t="s">
        <v>17</v>
      </c>
      <c r="I64" s="65">
        <v>3</v>
      </c>
      <c r="J64" s="68">
        <v>20</v>
      </c>
      <c r="K64" s="68">
        <v>125</v>
      </c>
      <c r="L64" s="68">
        <v>168</v>
      </c>
      <c r="M64" s="69">
        <v>0.8</v>
      </c>
    </row>
    <row r="65" spans="1:13" x14ac:dyDescent="0.2">
      <c r="A65" s="57" t="s">
        <v>93</v>
      </c>
      <c r="B65" s="57" t="s">
        <v>14</v>
      </c>
      <c r="C65" s="57" t="s">
        <v>23</v>
      </c>
      <c r="D65" s="57"/>
      <c r="E65" s="57" t="s">
        <v>93</v>
      </c>
      <c r="F65" s="58">
        <v>6511</v>
      </c>
      <c r="G65" s="58" t="s">
        <v>94</v>
      </c>
      <c r="H65" s="57" t="s">
        <v>40</v>
      </c>
      <c r="I65" s="66">
        <v>3</v>
      </c>
      <c r="J65" s="70">
        <v>20</v>
      </c>
      <c r="K65" s="70">
        <v>125</v>
      </c>
      <c r="L65" s="70">
        <v>168</v>
      </c>
      <c r="M65" s="71">
        <v>0.8</v>
      </c>
    </row>
    <row r="66" spans="1:13" x14ac:dyDescent="0.2">
      <c r="A66" s="55" t="s">
        <v>95</v>
      </c>
      <c r="B66" s="55" t="s">
        <v>14</v>
      </c>
      <c r="C66" s="57" t="s">
        <v>23</v>
      </c>
      <c r="D66" s="55"/>
      <c r="E66" s="55" t="s">
        <v>95</v>
      </c>
      <c r="F66" s="56">
        <v>5502</v>
      </c>
      <c r="G66" s="56" t="s">
        <v>96</v>
      </c>
      <c r="H66" s="55" t="s">
        <v>47</v>
      </c>
      <c r="I66" s="65">
        <v>0.75</v>
      </c>
      <c r="J66" s="68">
        <v>80</v>
      </c>
      <c r="K66" s="68">
        <v>501</v>
      </c>
      <c r="L66" s="68">
        <v>672</v>
      </c>
      <c r="M66" s="69">
        <v>0.8</v>
      </c>
    </row>
    <row r="67" spans="1:13" x14ac:dyDescent="0.2">
      <c r="A67" s="57" t="s">
        <v>95</v>
      </c>
      <c r="B67" s="57" t="s">
        <v>14</v>
      </c>
      <c r="C67" s="57" t="s">
        <v>23</v>
      </c>
      <c r="D67" s="57"/>
      <c r="E67" s="57" t="s">
        <v>95</v>
      </c>
      <c r="F67" s="58">
        <v>5503</v>
      </c>
      <c r="G67" s="58" t="s">
        <v>97</v>
      </c>
      <c r="H67" s="57" t="s">
        <v>47</v>
      </c>
      <c r="I67" s="66">
        <v>0.86</v>
      </c>
      <c r="J67" s="70">
        <v>70</v>
      </c>
      <c r="K67" s="70">
        <v>438</v>
      </c>
      <c r="L67" s="70">
        <v>588</v>
      </c>
      <c r="M67" s="71">
        <v>0.8</v>
      </c>
    </row>
    <row r="68" spans="1:13" x14ac:dyDescent="0.2">
      <c r="A68" s="55" t="s">
        <v>95</v>
      </c>
      <c r="B68" s="55" t="s">
        <v>14</v>
      </c>
      <c r="C68" s="57" t="s">
        <v>23</v>
      </c>
      <c r="D68" s="55"/>
      <c r="E68" s="55" t="s">
        <v>95</v>
      </c>
      <c r="F68" s="56">
        <v>6303</v>
      </c>
      <c r="G68" s="56" t="s">
        <v>98</v>
      </c>
      <c r="H68" s="55" t="s">
        <v>47</v>
      </c>
      <c r="I68" s="65">
        <v>1.2</v>
      </c>
      <c r="J68" s="68">
        <v>50</v>
      </c>
      <c r="K68" s="68">
        <v>313</v>
      </c>
      <c r="L68" s="68">
        <v>420</v>
      </c>
      <c r="M68" s="69">
        <v>0.8</v>
      </c>
    </row>
    <row r="69" spans="1:13" x14ac:dyDescent="0.2">
      <c r="A69" s="57" t="s">
        <v>95</v>
      </c>
      <c r="B69" s="57" t="s">
        <v>14</v>
      </c>
      <c r="C69" s="57" t="s">
        <v>23</v>
      </c>
      <c r="D69" s="57"/>
      <c r="E69" s="57" t="s">
        <v>95</v>
      </c>
      <c r="F69" s="58">
        <v>6304</v>
      </c>
      <c r="G69" s="58" t="s">
        <v>99</v>
      </c>
      <c r="H69" s="57" t="s">
        <v>47</v>
      </c>
      <c r="I69" s="66">
        <v>1.33</v>
      </c>
      <c r="J69" s="70">
        <v>45</v>
      </c>
      <c r="K69" s="70">
        <v>282</v>
      </c>
      <c r="L69" s="70">
        <v>378</v>
      </c>
      <c r="M69" s="71">
        <v>0.8</v>
      </c>
    </row>
    <row r="70" spans="1:13" x14ac:dyDescent="0.2">
      <c r="A70" s="55" t="s">
        <v>95</v>
      </c>
      <c r="B70" s="55" t="s">
        <v>14</v>
      </c>
      <c r="C70" s="57" t="s">
        <v>23</v>
      </c>
      <c r="D70" s="55"/>
      <c r="E70" s="55" t="s">
        <v>95</v>
      </c>
      <c r="F70" s="56">
        <v>5479</v>
      </c>
      <c r="G70" s="56" t="s">
        <v>100</v>
      </c>
      <c r="H70" s="55" t="s">
        <v>17</v>
      </c>
      <c r="I70" s="65">
        <v>1.82</v>
      </c>
      <c r="J70" s="68">
        <v>33</v>
      </c>
      <c r="K70" s="68">
        <v>206</v>
      </c>
      <c r="L70" s="68">
        <v>277</v>
      </c>
      <c r="M70" s="69">
        <v>0.8</v>
      </c>
    </row>
    <row r="71" spans="1:13" x14ac:dyDescent="0.2">
      <c r="A71" s="57" t="s">
        <v>101</v>
      </c>
      <c r="B71" s="57" t="s">
        <v>14</v>
      </c>
      <c r="C71" s="57" t="s">
        <v>23</v>
      </c>
      <c r="D71" s="57"/>
      <c r="E71" s="57" t="s">
        <v>101</v>
      </c>
      <c r="F71" s="58">
        <v>6084</v>
      </c>
      <c r="G71" s="58" t="s">
        <v>102</v>
      </c>
      <c r="H71" s="57" t="s">
        <v>40</v>
      </c>
      <c r="I71" s="66">
        <v>1.94</v>
      </c>
      <c r="J71" s="70">
        <v>31</v>
      </c>
      <c r="K71" s="70">
        <v>206</v>
      </c>
      <c r="L71" s="70">
        <v>276</v>
      </c>
      <c r="M71" s="71">
        <v>0.85</v>
      </c>
    </row>
    <row r="72" spans="1:13" x14ac:dyDescent="0.2">
      <c r="A72" s="55" t="s">
        <v>101</v>
      </c>
      <c r="B72" s="55" t="s">
        <v>14</v>
      </c>
      <c r="C72" s="57" t="s">
        <v>23</v>
      </c>
      <c r="D72" s="55"/>
      <c r="E72" s="55" t="s">
        <v>101</v>
      </c>
      <c r="F72" s="56">
        <v>6108</v>
      </c>
      <c r="G72" s="56" t="s">
        <v>103</v>
      </c>
      <c r="H72" s="55" t="s">
        <v>40</v>
      </c>
      <c r="I72" s="65">
        <v>1.1599999999999999</v>
      </c>
      <c r="J72" s="68">
        <v>51</v>
      </c>
      <c r="K72" s="68">
        <v>344</v>
      </c>
      <c r="L72" s="68">
        <v>461</v>
      </c>
      <c r="M72" s="69">
        <v>0.85</v>
      </c>
    </row>
    <row r="73" spans="1:13" ht="24" x14ac:dyDescent="0.2">
      <c r="A73" s="57" t="s">
        <v>101</v>
      </c>
      <c r="B73" s="57" t="s">
        <v>14</v>
      </c>
      <c r="C73" s="57" t="s">
        <v>23</v>
      </c>
      <c r="D73" s="57"/>
      <c r="E73" s="57" t="s">
        <v>101</v>
      </c>
      <c r="F73" s="58">
        <v>5811</v>
      </c>
      <c r="G73" s="58" t="s">
        <v>72</v>
      </c>
      <c r="H73" s="57" t="s">
        <v>73</v>
      </c>
      <c r="I73" s="66">
        <v>2</v>
      </c>
      <c r="J73" s="70">
        <v>30</v>
      </c>
      <c r="K73" s="70">
        <v>199</v>
      </c>
      <c r="L73" s="70">
        <v>267</v>
      </c>
      <c r="M73" s="71">
        <v>0.85</v>
      </c>
    </row>
    <row r="74" spans="1:13" x14ac:dyDescent="0.2">
      <c r="A74" s="55" t="s">
        <v>101</v>
      </c>
      <c r="B74" s="55" t="s">
        <v>14</v>
      </c>
      <c r="C74" s="57" t="s">
        <v>23</v>
      </c>
      <c r="D74" s="55"/>
      <c r="E74" s="55" t="s">
        <v>101</v>
      </c>
      <c r="F74" s="56">
        <v>6163</v>
      </c>
      <c r="G74" s="56" t="s">
        <v>75</v>
      </c>
      <c r="H74" s="55" t="s">
        <v>73</v>
      </c>
      <c r="I74" s="65">
        <v>2</v>
      </c>
      <c r="J74" s="68">
        <v>30</v>
      </c>
      <c r="K74" s="68">
        <v>199</v>
      </c>
      <c r="L74" s="68">
        <v>267</v>
      </c>
      <c r="M74" s="69">
        <v>0.85</v>
      </c>
    </row>
    <row r="75" spans="1:13" x14ac:dyDescent="0.2">
      <c r="A75" s="57" t="s">
        <v>104</v>
      </c>
      <c r="B75" s="57" t="s">
        <v>14</v>
      </c>
      <c r="C75" s="57" t="s">
        <v>23</v>
      </c>
      <c r="D75" s="57"/>
      <c r="E75" s="57" t="s">
        <v>104</v>
      </c>
      <c r="F75" s="58">
        <v>5507</v>
      </c>
      <c r="G75" s="58" t="s">
        <v>105</v>
      </c>
      <c r="H75" s="57" t="s">
        <v>40</v>
      </c>
      <c r="I75" s="66">
        <v>1.43</v>
      </c>
      <c r="J75" s="70">
        <v>42</v>
      </c>
      <c r="K75" s="70">
        <v>279</v>
      </c>
      <c r="L75" s="70">
        <v>374</v>
      </c>
      <c r="M75" s="71">
        <v>0.85</v>
      </c>
    </row>
    <row r="76" spans="1:13" x14ac:dyDescent="0.2">
      <c r="A76" s="55" t="s">
        <v>104</v>
      </c>
      <c r="B76" s="55" t="s">
        <v>14</v>
      </c>
      <c r="C76" s="57" t="s">
        <v>23</v>
      </c>
      <c r="D76" s="55"/>
      <c r="E76" s="55" t="s">
        <v>104</v>
      </c>
      <c r="F76" s="56">
        <v>5806</v>
      </c>
      <c r="G76" s="56" t="s">
        <v>106</v>
      </c>
      <c r="H76" s="55" t="s">
        <v>40</v>
      </c>
      <c r="I76" s="65">
        <v>2.5</v>
      </c>
      <c r="J76" s="68">
        <v>24</v>
      </c>
      <c r="K76" s="68">
        <v>159</v>
      </c>
      <c r="L76" s="68">
        <v>214</v>
      </c>
      <c r="M76" s="69">
        <v>0.85</v>
      </c>
    </row>
    <row r="77" spans="1:13" x14ac:dyDescent="0.2">
      <c r="A77" s="57" t="s">
        <v>107</v>
      </c>
      <c r="B77" s="57" t="s">
        <v>14</v>
      </c>
      <c r="C77" s="57" t="s">
        <v>23</v>
      </c>
      <c r="D77" s="57"/>
      <c r="E77" s="57" t="s">
        <v>107</v>
      </c>
      <c r="F77" s="58">
        <v>5805</v>
      </c>
      <c r="G77" s="58" t="s">
        <v>108</v>
      </c>
      <c r="H77" s="57" t="s">
        <v>40</v>
      </c>
      <c r="I77" s="66">
        <v>2.61</v>
      </c>
      <c r="J77" s="70">
        <v>23</v>
      </c>
      <c r="K77" s="70">
        <v>144</v>
      </c>
      <c r="L77" s="70">
        <v>193</v>
      </c>
      <c r="M77" s="71">
        <v>0.8</v>
      </c>
    </row>
    <row r="78" spans="1:13" x14ac:dyDescent="0.2">
      <c r="A78" s="55" t="s">
        <v>107</v>
      </c>
      <c r="B78" s="55" t="s">
        <v>14</v>
      </c>
      <c r="C78" s="57" t="s">
        <v>23</v>
      </c>
      <c r="D78" s="55"/>
      <c r="E78" s="55" t="s">
        <v>107</v>
      </c>
      <c r="F78" s="56">
        <v>6511</v>
      </c>
      <c r="G78" s="56" t="s">
        <v>94</v>
      </c>
      <c r="H78" s="55" t="s">
        <v>40</v>
      </c>
      <c r="I78" s="65">
        <v>1.36</v>
      </c>
      <c r="J78" s="68">
        <v>44</v>
      </c>
      <c r="K78" s="68">
        <v>275</v>
      </c>
      <c r="L78" s="68">
        <v>369</v>
      </c>
      <c r="M78" s="69">
        <v>0.8</v>
      </c>
    </row>
    <row r="79" spans="1:13" x14ac:dyDescent="0.2">
      <c r="A79" s="57" t="s">
        <v>107</v>
      </c>
      <c r="B79" s="57" t="s">
        <v>14</v>
      </c>
      <c r="C79" s="57" t="s">
        <v>23</v>
      </c>
      <c r="D79" s="57"/>
      <c r="E79" s="57" t="s">
        <v>107</v>
      </c>
      <c r="F79" s="58">
        <v>5706</v>
      </c>
      <c r="G79" s="58" t="s">
        <v>109</v>
      </c>
      <c r="H79" s="57" t="s">
        <v>40</v>
      </c>
      <c r="I79" s="66">
        <v>2.4</v>
      </c>
      <c r="J79" s="70">
        <v>25</v>
      </c>
      <c r="K79" s="70">
        <v>156</v>
      </c>
      <c r="L79" s="70">
        <v>210</v>
      </c>
      <c r="M79" s="71">
        <v>0.8</v>
      </c>
    </row>
    <row r="80" spans="1:13" x14ac:dyDescent="0.2">
      <c r="A80" s="55" t="s">
        <v>110</v>
      </c>
      <c r="B80" s="55" t="s">
        <v>14</v>
      </c>
      <c r="C80" s="57" t="s">
        <v>23</v>
      </c>
      <c r="D80" s="55"/>
      <c r="E80" s="55" t="s">
        <v>110</v>
      </c>
      <c r="F80" s="56">
        <v>5507</v>
      </c>
      <c r="G80" s="56" t="s">
        <v>105</v>
      </c>
      <c r="H80" s="55" t="s">
        <v>40</v>
      </c>
      <c r="I80" s="65">
        <v>1.33</v>
      </c>
      <c r="J80" s="68">
        <v>45</v>
      </c>
      <c r="K80" s="68">
        <v>299</v>
      </c>
      <c r="L80" s="68">
        <v>401</v>
      </c>
      <c r="M80" s="69">
        <v>0.85</v>
      </c>
    </row>
    <row r="81" spans="1:13" x14ac:dyDescent="0.2">
      <c r="A81" s="57" t="s">
        <v>110</v>
      </c>
      <c r="B81" s="57" t="s">
        <v>14</v>
      </c>
      <c r="C81" s="57" t="s">
        <v>23</v>
      </c>
      <c r="D81" s="57"/>
      <c r="E81" s="57" t="s">
        <v>110</v>
      </c>
      <c r="F81" s="58">
        <v>5706</v>
      </c>
      <c r="G81" s="58" t="s">
        <v>109</v>
      </c>
      <c r="H81" s="57" t="s">
        <v>40</v>
      </c>
      <c r="I81" s="66">
        <v>1.33</v>
      </c>
      <c r="J81" s="70">
        <v>45</v>
      </c>
      <c r="K81" s="70">
        <v>299</v>
      </c>
      <c r="L81" s="70">
        <v>401</v>
      </c>
      <c r="M81" s="71">
        <v>0.85</v>
      </c>
    </row>
    <row r="82" spans="1:13" x14ac:dyDescent="0.2">
      <c r="A82" s="55" t="s">
        <v>111</v>
      </c>
      <c r="B82" s="55" t="s">
        <v>14</v>
      </c>
      <c r="C82" s="57" t="s">
        <v>23</v>
      </c>
      <c r="D82" s="55"/>
      <c r="E82" s="55" t="s">
        <v>111</v>
      </c>
      <c r="F82" s="56">
        <v>5806</v>
      </c>
      <c r="G82" s="56" t="s">
        <v>106</v>
      </c>
      <c r="H82" s="55" t="s">
        <v>40</v>
      </c>
      <c r="I82" s="65">
        <v>2.5</v>
      </c>
      <c r="J82" s="68">
        <v>24</v>
      </c>
      <c r="K82" s="68">
        <v>159</v>
      </c>
      <c r="L82" s="68">
        <v>214</v>
      </c>
      <c r="M82" s="69">
        <v>0.85</v>
      </c>
    </row>
    <row r="83" spans="1:13" x14ac:dyDescent="0.2">
      <c r="A83" s="57" t="s">
        <v>111</v>
      </c>
      <c r="B83" s="57" t="s">
        <v>14</v>
      </c>
      <c r="C83" s="57" t="s">
        <v>23</v>
      </c>
      <c r="D83" s="57"/>
      <c r="E83" s="57" t="s">
        <v>111</v>
      </c>
      <c r="F83" s="58">
        <v>5805</v>
      </c>
      <c r="G83" s="58" t="s">
        <v>108</v>
      </c>
      <c r="H83" s="57" t="s">
        <v>40</v>
      </c>
      <c r="I83" s="66">
        <v>2.5</v>
      </c>
      <c r="J83" s="70">
        <v>24</v>
      </c>
      <c r="K83" s="70">
        <v>159</v>
      </c>
      <c r="L83" s="70">
        <v>214</v>
      </c>
      <c r="M83" s="71">
        <v>0.85</v>
      </c>
    </row>
    <row r="84" spans="1:13" x14ac:dyDescent="0.2">
      <c r="A84" s="55" t="s">
        <v>112</v>
      </c>
      <c r="B84" s="55" t="s">
        <v>14</v>
      </c>
      <c r="C84" s="57" t="s">
        <v>23</v>
      </c>
      <c r="D84" s="55"/>
      <c r="E84" s="55" t="s">
        <v>112</v>
      </c>
      <c r="F84" s="56">
        <v>6302</v>
      </c>
      <c r="G84" s="56" t="s">
        <v>113</v>
      </c>
      <c r="H84" s="55" t="s">
        <v>47</v>
      </c>
      <c r="I84" s="65">
        <v>1.67</v>
      </c>
      <c r="J84" s="68">
        <v>36</v>
      </c>
      <c r="K84" s="68">
        <v>239</v>
      </c>
      <c r="L84" s="68">
        <v>321</v>
      </c>
      <c r="M84" s="69">
        <v>0.85</v>
      </c>
    </row>
    <row r="85" spans="1:13" x14ac:dyDescent="0.2">
      <c r="A85" s="57" t="s">
        <v>112</v>
      </c>
      <c r="B85" s="57" t="s">
        <v>14</v>
      </c>
      <c r="C85" s="57" t="s">
        <v>23</v>
      </c>
      <c r="D85" s="57"/>
      <c r="E85" s="57" t="s">
        <v>112</v>
      </c>
      <c r="F85" s="58">
        <v>5903</v>
      </c>
      <c r="G85" s="58" t="s">
        <v>114</v>
      </c>
      <c r="H85" s="57" t="s">
        <v>47</v>
      </c>
      <c r="I85" s="66">
        <v>1.67</v>
      </c>
      <c r="J85" s="70">
        <v>36</v>
      </c>
      <c r="K85" s="70">
        <v>239</v>
      </c>
      <c r="L85" s="70">
        <v>321</v>
      </c>
      <c r="M85" s="71">
        <v>0.85</v>
      </c>
    </row>
    <row r="86" spans="1:13" x14ac:dyDescent="0.2">
      <c r="A86" s="55" t="s">
        <v>112</v>
      </c>
      <c r="B86" s="55" t="s">
        <v>14</v>
      </c>
      <c r="C86" s="57" t="s">
        <v>23</v>
      </c>
      <c r="D86" s="55"/>
      <c r="E86" s="55" t="s">
        <v>112</v>
      </c>
      <c r="F86" s="56">
        <v>6415</v>
      </c>
      <c r="G86" s="56" t="s">
        <v>63</v>
      </c>
      <c r="H86" s="55" t="s">
        <v>47</v>
      </c>
      <c r="I86" s="65">
        <v>2.5</v>
      </c>
      <c r="J86" s="68">
        <v>24</v>
      </c>
      <c r="K86" s="68">
        <v>159</v>
      </c>
      <c r="L86" s="68">
        <v>214</v>
      </c>
      <c r="M86" s="69">
        <v>0.85</v>
      </c>
    </row>
    <row r="87" spans="1:13" x14ac:dyDescent="0.2">
      <c r="A87" s="57" t="s">
        <v>112</v>
      </c>
      <c r="B87" s="57" t="s">
        <v>14</v>
      </c>
      <c r="C87" s="57" t="s">
        <v>23</v>
      </c>
      <c r="D87" s="57"/>
      <c r="E87" s="57" t="s">
        <v>112</v>
      </c>
      <c r="F87" s="58">
        <v>5536</v>
      </c>
      <c r="G87" s="58" t="s">
        <v>115</v>
      </c>
      <c r="H87" s="57" t="s">
        <v>47</v>
      </c>
      <c r="I87" s="66">
        <v>1.33</v>
      </c>
      <c r="J87" s="70">
        <v>45</v>
      </c>
      <c r="K87" s="70">
        <v>299</v>
      </c>
      <c r="L87" s="70">
        <v>401</v>
      </c>
      <c r="M87" s="71">
        <v>0.85</v>
      </c>
    </row>
    <row r="88" spans="1:13" x14ac:dyDescent="0.2">
      <c r="A88" s="55" t="s">
        <v>116</v>
      </c>
      <c r="B88" s="55" t="s">
        <v>14</v>
      </c>
      <c r="C88" s="57" t="s">
        <v>23</v>
      </c>
      <c r="D88" s="55"/>
      <c r="E88" s="55" t="s">
        <v>117</v>
      </c>
      <c r="F88" s="56">
        <v>5536</v>
      </c>
      <c r="G88" s="56" t="s">
        <v>115</v>
      </c>
      <c r="H88" s="55" t="s">
        <v>47</v>
      </c>
      <c r="I88" s="65">
        <v>1.25</v>
      </c>
      <c r="J88" s="68">
        <v>48</v>
      </c>
      <c r="K88" s="68">
        <v>300</v>
      </c>
      <c r="L88" s="68">
        <v>403</v>
      </c>
      <c r="M88" s="69">
        <v>0.8</v>
      </c>
    </row>
    <row r="89" spans="1:13" x14ac:dyDescent="0.2">
      <c r="A89" s="57" t="s">
        <v>116</v>
      </c>
      <c r="B89" s="57" t="s">
        <v>14</v>
      </c>
      <c r="C89" s="57" t="s">
        <v>23</v>
      </c>
      <c r="D89" s="57"/>
      <c r="E89" s="57" t="s">
        <v>117</v>
      </c>
      <c r="F89" s="58">
        <v>6302</v>
      </c>
      <c r="G89" s="58" t="s">
        <v>113</v>
      </c>
      <c r="H89" s="57" t="s">
        <v>47</v>
      </c>
      <c r="I89" s="66">
        <v>1.25</v>
      </c>
      <c r="J89" s="70">
        <v>48</v>
      </c>
      <c r="K89" s="70">
        <v>300</v>
      </c>
      <c r="L89" s="70">
        <v>403</v>
      </c>
      <c r="M89" s="71">
        <v>0.8</v>
      </c>
    </row>
    <row r="90" spans="1:13" x14ac:dyDescent="0.2">
      <c r="A90" s="55" t="s">
        <v>118</v>
      </c>
      <c r="B90" s="55" t="s">
        <v>14</v>
      </c>
      <c r="C90" s="57" t="s">
        <v>23</v>
      </c>
      <c r="D90" s="55"/>
      <c r="E90" s="55" t="s">
        <v>119</v>
      </c>
      <c r="F90" s="56">
        <v>6149</v>
      </c>
      <c r="G90" s="56" t="s">
        <v>54</v>
      </c>
      <c r="H90" s="55" t="s">
        <v>47</v>
      </c>
      <c r="I90" s="65">
        <v>2.61</v>
      </c>
      <c r="J90" s="68">
        <v>23</v>
      </c>
      <c r="K90" s="68">
        <v>144</v>
      </c>
      <c r="L90" s="68">
        <v>193</v>
      </c>
      <c r="M90" s="69">
        <v>0.8</v>
      </c>
    </row>
    <row r="91" spans="1:13" x14ac:dyDescent="0.2">
      <c r="A91" s="57" t="s">
        <v>118</v>
      </c>
      <c r="B91" s="57" t="s">
        <v>14</v>
      </c>
      <c r="C91" s="57" t="s">
        <v>23</v>
      </c>
      <c r="D91" s="57"/>
      <c r="E91" s="57" t="s">
        <v>119</v>
      </c>
      <c r="F91" s="58">
        <v>6148</v>
      </c>
      <c r="G91" s="58" t="s">
        <v>53</v>
      </c>
      <c r="H91" s="57" t="s">
        <v>47</v>
      </c>
      <c r="I91" s="66">
        <v>2.61</v>
      </c>
      <c r="J91" s="70">
        <v>23</v>
      </c>
      <c r="K91" s="70">
        <v>144</v>
      </c>
      <c r="L91" s="70">
        <v>193</v>
      </c>
      <c r="M91" s="71">
        <v>0.8</v>
      </c>
    </row>
    <row r="92" spans="1:13" x14ac:dyDescent="0.2">
      <c r="A92" s="55" t="s">
        <v>118</v>
      </c>
      <c r="B92" s="55" t="s">
        <v>14</v>
      </c>
      <c r="C92" s="57" t="s">
        <v>23</v>
      </c>
      <c r="D92" s="55"/>
      <c r="E92" s="55" t="s">
        <v>119</v>
      </c>
      <c r="F92" s="56">
        <v>6511</v>
      </c>
      <c r="G92" s="56" t="s">
        <v>94</v>
      </c>
      <c r="H92" s="55" t="s">
        <v>40</v>
      </c>
      <c r="I92" s="65">
        <v>1.58</v>
      </c>
      <c r="J92" s="68">
        <v>38</v>
      </c>
      <c r="K92" s="68">
        <v>238</v>
      </c>
      <c r="L92" s="68">
        <v>319</v>
      </c>
      <c r="M92" s="69">
        <v>0.8</v>
      </c>
    </row>
    <row r="93" spans="1:13" x14ac:dyDescent="0.2">
      <c r="A93" s="57" t="s">
        <v>118</v>
      </c>
      <c r="B93" s="57" t="s">
        <v>14</v>
      </c>
      <c r="C93" s="57" t="s">
        <v>23</v>
      </c>
      <c r="D93" s="57"/>
      <c r="E93" s="57" t="s">
        <v>119</v>
      </c>
      <c r="F93" s="58">
        <v>5202</v>
      </c>
      <c r="G93" s="58" t="s">
        <v>68</v>
      </c>
      <c r="H93" s="57" t="s">
        <v>57</v>
      </c>
      <c r="I93" s="66">
        <v>1.58</v>
      </c>
      <c r="J93" s="70">
        <v>38</v>
      </c>
      <c r="K93" s="70">
        <v>238</v>
      </c>
      <c r="L93" s="70">
        <v>319</v>
      </c>
      <c r="M93" s="71">
        <v>0.8</v>
      </c>
    </row>
    <row r="94" spans="1:13" x14ac:dyDescent="0.2">
      <c r="A94" s="55" t="s">
        <v>118</v>
      </c>
      <c r="B94" s="55" t="s">
        <v>14</v>
      </c>
      <c r="C94" s="57" t="s">
        <v>23</v>
      </c>
      <c r="D94" s="55"/>
      <c r="E94" s="55" t="s">
        <v>119</v>
      </c>
      <c r="F94" s="56">
        <v>6153</v>
      </c>
      <c r="G94" s="56" t="s">
        <v>69</v>
      </c>
      <c r="H94" s="55" t="s">
        <v>57</v>
      </c>
      <c r="I94" s="65">
        <v>1.58</v>
      </c>
      <c r="J94" s="68">
        <v>38</v>
      </c>
      <c r="K94" s="68">
        <v>238</v>
      </c>
      <c r="L94" s="68">
        <v>319</v>
      </c>
      <c r="M94" s="69">
        <v>0.8</v>
      </c>
    </row>
    <row r="95" spans="1:13" x14ac:dyDescent="0.2">
      <c r="A95" s="57" t="s">
        <v>118</v>
      </c>
      <c r="B95" s="57" t="s">
        <v>14</v>
      </c>
      <c r="C95" s="57" t="s">
        <v>23</v>
      </c>
      <c r="D95" s="57"/>
      <c r="E95" s="57" t="s">
        <v>119</v>
      </c>
      <c r="F95" s="58">
        <v>5901</v>
      </c>
      <c r="G95" s="58" t="s">
        <v>70</v>
      </c>
      <c r="H95" s="57" t="s">
        <v>57</v>
      </c>
      <c r="I95" s="66">
        <v>1.58</v>
      </c>
      <c r="J95" s="70">
        <v>38</v>
      </c>
      <c r="K95" s="70">
        <v>238</v>
      </c>
      <c r="L95" s="70">
        <v>319</v>
      </c>
      <c r="M95" s="71">
        <v>0.8</v>
      </c>
    </row>
    <row r="96" spans="1:13" x14ac:dyDescent="0.2">
      <c r="A96" s="55" t="s">
        <v>118</v>
      </c>
      <c r="B96" s="55" t="s">
        <v>14</v>
      </c>
      <c r="C96" s="57" t="s">
        <v>23</v>
      </c>
      <c r="D96" s="55"/>
      <c r="E96" s="55" t="s">
        <v>119</v>
      </c>
      <c r="F96" s="56">
        <v>5203</v>
      </c>
      <c r="G96" s="56" t="s">
        <v>56</v>
      </c>
      <c r="H96" s="55" t="s">
        <v>57</v>
      </c>
      <c r="I96" s="65">
        <v>1.58</v>
      </c>
      <c r="J96" s="68">
        <v>38</v>
      </c>
      <c r="K96" s="68">
        <v>238</v>
      </c>
      <c r="L96" s="68">
        <v>319</v>
      </c>
      <c r="M96" s="69">
        <v>0.8</v>
      </c>
    </row>
    <row r="97" spans="1:13" x14ac:dyDescent="0.2">
      <c r="A97" s="57" t="s">
        <v>118</v>
      </c>
      <c r="B97" s="57" t="s">
        <v>14</v>
      </c>
      <c r="C97" s="57" t="s">
        <v>23</v>
      </c>
      <c r="D97" s="57"/>
      <c r="E97" s="57" t="s">
        <v>119</v>
      </c>
      <c r="F97" s="58">
        <v>5529</v>
      </c>
      <c r="G97" s="58" t="s">
        <v>67</v>
      </c>
      <c r="H97" s="57" t="s">
        <v>57</v>
      </c>
      <c r="I97" s="66">
        <v>3</v>
      </c>
      <c r="J97" s="70">
        <v>20</v>
      </c>
      <c r="K97" s="70">
        <v>125</v>
      </c>
      <c r="L97" s="70">
        <v>168</v>
      </c>
      <c r="M97" s="71">
        <v>0.8</v>
      </c>
    </row>
    <row r="98" spans="1:13" x14ac:dyDescent="0.2">
      <c r="A98" s="55" t="s">
        <v>118</v>
      </c>
      <c r="B98" s="55" t="s">
        <v>14</v>
      </c>
      <c r="C98" s="57" t="s">
        <v>23</v>
      </c>
      <c r="D98" s="55"/>
      <c r="E98" s="55" t="s">
        <v>119</v>
      </c>
      <c r="F98" s="56">
        <v>5246</v>
      </c>
      <c r="G98" s="56" t="s">
        <v>66</v>
      </c>
      <c r="H98" s="55" t="s">
        <v>26</v>
      </c>
      <c r="I98" s="65">
        <v>2.4</v>
      </c>
      <c r="J98" s="68">
        <v>25</v>
      </c>
      <c r="K98" s="68">
        <v>156</v>
      </c>
      <c r="L98" s="68">
        <v>210</v>
      </c>
      <c r="M98" s="69">
        <v>0.8</v>
      </c>
    </row>
    <row r="99" spans="1:13" x14ac:dyDescent="0.2">
      <c r="A99" s="57" t="s">
        <v>118</v>
      </c>
      <c r="B99" s="57" t="s">
        <v>14</v>
      </c>
      <c r="C99" s="57" t="s">
        <v>23</v>
      </c>
      <c r="D99" s="57"/>
      <c r="E99" s="57" t="s">
        <v>119</v>
      </c>
      <c r="F99" s="58">
        <v>5813</v>
      </c>
      <c r="G99" s="58" t="s">
        <v>64</v>
      </c>
      <c r="H99" s="57" t="s">
        <v>57</v>
      </c>
      <c r="I99" s="66">
        <v>2.4</v>
      </c>
      <c r="J99" s="70">
        <v>25</v>
      </c>
      <c r="K99" s="70">
        <v>156</v>
      </c>
      <c r="L99" s="70">
        <v>210</v>
      </c>
      <c r="M99" s="71">
        <v>0.8</v>
      </c>
    </row>
    <row r="100" spans="1:13" x14ac:dyDescent="0.2">
      <c r="A100" s="55" t="s">
        <v>118</v>
      </c>
      <c r="B100" s="55" t="s">
        <v>14</v>
      </c>
      <c r="C100" s="57" t="s">
        <v>23</v>
      </c>
      <c r="D100" s="55"/>
      <c r="E100" s="55" t="s">
        <v>119</v>
      </c>
      <c r="F100" s="56">
        <v>5814</v>
      </c>
      <c r="G100" s="56" t="s">
        <v>65</v>
      </c>
      <c r="H100" s="55" t="s">
        <v>57</v>
      </c>
      <c r="I100" s="65">
        <v>2.4</v>
      </c>
      <c r="J100" s="68">
        <v>25</v>
      </c>
      <c r="K100" s="68">
        <v>156</v>
      </c>
      <c r="L100" s="68">
        <v>210</v>
      </c>
      <c r="M100" s="69">
        <v>0.8</v>
      </c>
    </row>
    <row r="101" spans="1:13" x14ac:dyDescent="0.2">
      <c r="A101" s="57" t="s">
        <v>118</v>
      </c>
      <c r="B101" s="57" t="s">
        <v>14</v>
      </c>
      <c r="C101" s="57" t="s">
        <v>23</v>
      </c>
      <c r="D101" s="57"/>
      <c r="E101" s="57" t="s">
        <v>119</v>
      </c>
      <c r="F101" s="58">
        <v>5530</v>
      </c>
      <c r="G101" s="58" t="s">
        <v>120</v>
      </c>
      <c r="H101" s="57" t="s">
        <v>57</v>
      </c>
      <c r="I101" s="66">
        <v>6</v>
      </c>
      <c r="J101" s="70">
        <v>10</v>
      </c>
      <c r="K101" s="70">
        <v>62</v>
      </c>
      <c r="L101" s="70">
        <v>84</v>
      </c>
      <c r="M101" s="71">
        <v>0.8</v>
      </c>
    </row>
    <row r="102" spans="1:13" x14ac:dyDescent="0.2">
      <c r="A102" s="55" t="s">
        <v>121</v>
      </c>
      <c r="B102" s="55" t="s">
        <v>14</v>
      </c>
      <c r="C102" s="57" t="s">
        <v>23</v>
      </c>
      <c r="D102" s="55"/>
      <c r="E102" s="55" t="s">
        <v>121</v>
      </c>
      <c r="F102" s="56">
        <v>5968</v>
      </c>
      <c r="G102" s="56" t="s">
        <v>122</v>
      </c>
      <c r="H102" s="55" t="s">
        <v>40</v>
      </c>
      <c r="I102" s="65">
        <v>1.41</v>
      </c>
      <c r="J102" s="68">
        <v>42</v>
      </c>
      <c r="K102" s="68">
        <v>283</v>
      </c>
      <c r="L102" s="68">
        <v>379</v>
      </c>
      <c r="M102" s="69">
        <v>0.85</v>
      </c>
    </row>
    <row r="103" spans="1:13" x14ac:dyDescent="0.2">
      <c r="A103" s="57" t="s">
        <v>121</v>
      </c>
      <c r="B103" s="57" t="s">
        <v>14</v>
      </c>
      <c r="C103" s="57" t="s">
        <v>23</v>
      </c>
      <c r="D103" s="57"/>
      <c r="E103" s="57" t="s">
        <v>121</v>
      </c>
      <c r="F103" s="58">
        <v>5969</v>
      </c>
      <c r="G103" s="58" t="s">
        <v>123</v>
      </c>
      <c r="H103" s="57" t="s">
        <v>40</v>
      </c>
      <c r="I103" s="66">
        <v>1.41</v>
      </c>
      <c r="J103" s="70">
        <v>42</v>
      </c>
      <c r="K103" s="70">
        <v>283</v>
      </c>
      <c r="L103" s="70">
        <v>379</v>
      </c>
      <c r="M103" s="71">
        <v>0.85</v>
      </c>
    </row>
    <row r="104" spans="1:13" x14ac:dyDescent="0.2">
      <c r="A104" s="55" t="s">
        <v>121</v>
      </c>
      <c r="B104" s="55" t="s">
        <v>14</v>
      </c>
      <c r="C104" s="57" t="s">
        <v>23</v>
      </c>
      <c r="D104" s="55"/>
      <c r="E104" s="55" t="s">
        <v>121</v>
      </c>
      <c r="F104" s="56">
        <v>6511</v>
      </c>
      <c r="G104" s="56" t="s">
        <v>94</v>
      </c>
      <c r="H104" s="55" t="s">
        <v>40</v>
      </c>
      <c r="I104" s="65">
        <v>1.97</v>
      </c>
      <c r="J104" s="68">
        <v>30</v>
      </c>
      <c r="K104" s="68">
        <v>202</v>
      </c>
      <c r="L104" s="68">
        <v>271</v>
      </c>
      <c r="M104" s="69">
        <v>0.85</v>
      </c>
    </row>
    <row r="105" spans="1:13" x14ac:dyDescent="0.2">
      <c r="A105" s="57" t="s">
        <v>124</v>
      </c>
      <c r="B105" s="57" t="s">
        <v>14</v>
      </c>
      <c r="C105" s="57" t="s">
        <v>23</v>
      </c>
      <c r="D105" s="57"/>
      <c r="E105" s="57" t="s">
        <v>124</v>
      </c>
      <c r="F105" s="58">
        <v>5450</v>
      </c>
      <c r="G105" s="58" t="s">
        <v>87</v>
      </c>
      <c r="H105" s="57" t="s">
        <v>17</v>
      </c>
      <c r="I105" s="66">
        <v>5</v>
      </c>
      <c r="J105" s="70">
        <v>12</v>
      </c>
      <c r="K105" s="70">
        <v>75</v>
      </c>
      <c r="L105" s="70">
        <v>100</v>
      </c>
      <c r="M105" s="71">
        <v>0.8</v>
      </c>
    </row>
    <row r="106" spans="1:13" x14ac:dyDescent="0.2">
      <c r="A106" s="55" t="s">
        <v>125</v>
      </c>
      <c r="B106" s="55" t="s">
        <v>14</v>
      </c>
      <c r="C106" s="57" t="s">
        <v>23</v>
      </c>
      <c r="D106" s="55"/>
      <c r="E106" s="55" t="s">
        <v>125</v>
      </c>
      <c r="F106" s="56">
        <v>5507</v>
      </c>
      <c r="G106" s="56" t="s">
        <v>105</v>
      </c>
      <c r="H106" s="55" t="s">
        <v>40</v>
      </c>
      <c r="I106" s="65">
        <v>1.03</v>
      </c>
      <c r="J106" s="68">
        <v>58</v>
      </c>
      <c r="K106" s="68">
        <v>387</v>
      </c>
      <c r="L106" s="68">
        <v>519</v>
      </c>
      <c r="M106" s="69">
        <v>0.85</v>
      </c>
    </row>
    <row r="107" spans="1:13" x14ac:dyDescent="0.2">
      <c r="A107" s="57" t="s">
        <v>125</v>
      </c>
      <c r="B107" s="57" t="s">
        <v>14</v>
      </c>
      <c r="C107" s="57" t="s">
        <v>23</v>
      </c>
      <c r="D107" s="57"/>
      <c r="E107" s="57" t="s">
        <v>125</v>
      </c>
      <c r="F107" s="58">
        <v>6511</v>
      </c>
      <c r="G107" s="58" t="s">
        <v>94</v>
      </c>
      <c r="H107" s="57" t="s">
        <v>40</v>
      </c>
      <c r="I107" s="66">
        <v>1.97</v>
      </c>
      <c r="J107" s="70">
        <v>30</v>
      </c>
      <c r="K107" s="70">
        <v>203</v>
      </c>
      <c r="L107" s="70">
        <v>272</v>
      </c>
      <c r="M107" s="71">
        <v>0.85</v>
      </c>
    </row>
    <row r="108" spans="1:13" x14ac:dyDescent="0.2">
      <c r="A108" s="55" t="s">
        <v>126</v>
      </c>
      <c r="B108" s="55" t="s">
        <v>14</v>
      </c>
      <c r="C108" s="57" t="s">
        <v>23</v>
      </c>
      <c r="D108" s="55"/>
      <c r="E108" s="55" t="s">
        <v>126</v>
      </c>
      <c r="F108" s="56">
        <v>5507</v>
      </c>
      <c r="G108" s="56" t="s">
        <v>105</v>
      </c>
      <c r="H108" s="55" t="s">
        <v>40</v>
      </c>
      <c r="I108" s="65">
        <v>1.03</v>
      </c>
      <c r="J108" s="68">
        <v>58</v>
      </c>
      <c r="K108" s="68">
        <v>387</v>
      </c>
      <c r="L108" s="68">
        <v>519</v>
      </c>
      <c r="M108" s="69">
        <v>0.85</v>
      </c>
    </row>
    <row r="109" spans="1:13" x14ac:dyDescent="0.2">
      <c r="A109" s="57" t="s">
        <v>126</v>
      </c>
      <c r="B109" s="57" t="s">
        <v>14</v>
      </c>
      <c r="C109" s="57" t="s">
        <v>23</v>
      </c>
      <c r="D109" s="57"/>
      <c r="E109" s="57" t="s">
        <v>126</v>
      </c>
      <c r="F109" s="58">
        <v>6511</v>
      </c>
      <c r="G109" s="58" t="s">
        <v>94</v>
      </c>
      <c r="H109" s="57" t="s">
        <v>40</v>
      </c>
      <c r="I109" s="66">
        <v>1.97</v>
      </c>
      <c r="J109" s="70">
        <v>30</v>
      </c>
      <c r="K109" s="70">
        <v>203</v>
      </c>
      <c r="L109" s="70">
        <v>272</v>
      </c>
      <c r="M109" s="71">
        <v>0.85</v>
      </c>
    </row>
    <row r="110" spans="1:13" x14ac:dyDescent="0.2">
      <c r="A110" s="55" t="s">
        <v>127</v>
      </c>
      <c r="B110" s="55" t="s">
        <v>14</v>
      </c>
      <c r="C110" s="57" t="s">
        <v>23</v>
      </c>
      <c r="D110" s="55"/>
      <c r="E110" s="55" t="s">
        <v>127</v>
      </c>
      <c r="F110" s="56">
        <v>5706</v>
      </c>
      <c r="G110" s="56" t="s">
        <v>109</v>
      </c>
      <c r="H110" s="55" t="s">
        <v>40</v>
      </c>
      <c r="I110" s="65">
        <v>2.06</v>
      </c>
      <c r="J110" s="68">
        <v>29</v>
      </c>
      <c r="K110" s="68">
        <v>193</v>
      </c>
      <c r="L110" s="68">
        <v>259</v>
      </c>
      <c r="M110" s="69">
        <v>0.85</v>
      </c>
    </row>
    <row r="111" spans="1:13" x14ac:dyDescent="0.2">
      <c r="A111" s="57" t="s">
        <v>127</v>
      </c>
      <c r="B111" s="57" t="s">
        <v>14</v>
      </c>
      <c r="C111" s="57" t="s">
        <v>23</v>
      </c>
      <c r="D111" s="57"/>
      <c r="E111" s="57" t="s">
        <v>127</v>
      </c>
      <c r="F111" s="58">
        <v>6511</v>
      </c>
      <c r="G111" s="58" t="s">
        <v>94</v>
      </c>
      <c r="H111" s="57" t="s">
        <v>40</v>
      </c>
      <c r="I111" s="66">
        <v>1.97</v>
      </c>
      <c r="J111" s="70">
        <v>30</v>
      </c>
      <c r="K111" s="70">
        <v>203</v>
      </c>
      <c r="L111" s="70">
        <v>272</v>
      </c>
      <c r="M111" s="71">
        <v>0.85</v>
      </c>
    </row>
    <row r="112" spans="1:13" ht="24" x14ac:dyDescent="0.2">
      <c r="A112" s="55" t="s">
        <v>128</v>
      </c>
      <c r="B112" s="55" t="s">
        <v>14</v>
      </c>
      <c r="C112" s="57" t="s">
        <v>23</v>
      </c>
      <c r="D112" s="55"/>
      <c r="E112" s="55" t="s">
        <v>128</v>
      </c>
      <c r="F112" s="56">
        <v>5811</v>
      </c>
      <c r="G112" s="56" t="s">
        <v>72</v>
      </c>
      <c r="H112" s="55" t="s">
        <v>73</v>
      </c>
      <c r="I112" s="65">
        <v>1.1000000000000001</v>
      </c>
      <c r="J112" s="68">
        <v>54</v>
      </c>
      <c r="K112" s="68">
        <v>363</v>
      </c>
      <c r="L112" s="68">
        <v>486</v>
      </c>
      <c r="M112" s="69">
        <v>0.85</v>
      </c>
    </row>
    <row r="113" spans="1:13" x14ac:dyDescent="0.2">
      <c r="A113" s="57" t="s">
        <v>129</v>
      </c>
      <c r="B113" s="57" t="s">
        <v>14</v>
      </c>
      <c r="C113" s="57" t="s">
        <v>23</v>
      </c>
      <c r="D113" s="57"/>
      <c r="E113" s="57" t="s">
        <v>129</v>
      </c>
      <c r="F113" s="58">
        <v>6163</v>
      </c>
      <c r="G113" s="58" t="s">
        <v>75</v>
      </c>
      <c r="H113" s="57" t="s">
        <v>73</v>
      </c>
      <c r="I113" s="66">
        <v>1.5</v>
      </c>
      <c r="J113" s="70">
        <v>40</v>
      </c>
      <c r="K113" s="70">
        <v>266</v>
      </c>
      <c r="L113" s="70">
        <v>357</v>
      </c>
      <c r="M113" s="71">
        <v>0.85</v>
      </c>
    </row>
    <row r="114" spans="1:13" ht="24" x14ac:dyDescent="0.2">
      <c r="A114" s="55" t="s">
        <v>129</v>
      </c>
      <c r="B114" s="55" t="s">
        <v>14</v>
      </c>
      <c r="C114" s="57" t="s">
        <v>23</v>
      </c>
      <c r="D114" s="55"/>
      <c r="E114" s="55" t="s">
        <v>129</v>
      </c>
      <c r="F114" s="56">
        <v>5811</v>
      </c>
      <c r="G114" s="56" t="s">
        <v>72</v>
      </c>
      <c r="H114" s="55" t="s">
        <v>73</v>
      </c>
      <c r="I114" s="65">
        <v>1.5</v>
      </c>
      <c r="J114" s="68">
        <v>40</v>
      </c>
      <c r="K114" s="68">
        <v>266</v>
      </c>
      <c r="L114" s="68">
        <v>357</v>
      </c>
      <c r="M114" s="69">
        <v>0.85</v>
      </c>
    </row>
    <row r="115" spans="1:13" x14ac:dyDescent="0.2">
      <c r="A115" s="57" t="s">
        <v>61</v>
      </c>
      <c r="B115" s="57" t="s">
        <v>14</v>
      </c>
      <c r="C115" s="57" t="s">
        <v>23</v>
      </c>
      <c r="D115" s="57"/>
      <c r="E115" s="57" t="s">
        <v>61</v>
      </c>
      <c r="F115" s="58">
        <v>6150</v>
      </c>
      <c r="G115" s="58" t="s">
        <v>16</v>
      </c>
      <c r="H115" s="57" t="s">
        <v>17</v>
      </c>
      <c r="I115" s="66"/>
      <c r="J115" s="70" t="s">
        <v>80</v>
      </c>
      <c r="K115" s="70" t="s">
        <v>80</v>
      </c>
      <c r="L115" s="70" t="s">
        <v>80</v>
      </c>
      <c r="M115" s="71">
        <v>0.85</v>
      </c>
    </row>
    <row r="116" spans="1:13" x14ac:dyDescent="0.2">
      <c r="A116" s="55" t="s">
        <v>61</v>
      </c>
      <c r="B116" s="55" t="s">
        <v>14</v>
      </c>
      <c r="C116" s="57" t="s">
        <v>23</v>
      </c>
      <c r="D116" s="55"/>
      <c r="E116" s="55" t="s">
        <v>61</v>
      </c>
      <c r="F116" s="56">
        <v>6415</v>
      </c>
      <c r="G116" s="56" t="s">
        <v>63</v>
      </c>
      <c r="H116" s="55" t="s">
        <v>47</v>
      </c>
      <c r="I116" s="65">
        <v>5.2</v>
      </c>
      <c r="J116" s="68">
        <v>11</v>
      </c>
      <c r="K116" s="68">
        <v>76</v>
      </c>
      <c r="L116" s="68">
        <v>102</v>
      </c>
      <c r="M116" s="69">
        <v>0.85</v>
      </c>
    </row>
    <row r="117" spans="1:13" x14ac:dyDescent="0.2">
      <c r="A117" s="57" t="s">
        <v>130</v>
      </c>
      <c r="B117" s="57" t="s">
        <v>14</v>
      </c>
      <c r="C117" s="57" t="s">
        <v>23</v>
      </c>
      <c r="D117" s="57"/>
      <c r="E117" s="57" t="s">
        <v>130</v>
      </c>
      <c r="F117" s="58">
        <v>5502</v>
      </c>
      <c r="G117" s="58" t="s">
        <v>96</v>
      </c>
      <c r="H117" s="57" t="s">
        <v>47</v>
      </c>
      <c r="I117" s="66">
        <v>0.92</v>
      </c>
      <c r="J117" s="70">
        <v>65</v>
      </c>
      <c r="K117" s="70">
        <v>432</v>
      </c>
      <c r="L117" s="70">
        <v>580</v>
      </c>
      <c r="M117" s="71">
        <v>0.85</v>
      </c>
    </row>
    <row r="118" spans="1:13" x14ac:dyDescent="0.2">
      <c r="A118" s="55" t="s">
        <v>130</v>
      </c>
      <c r="B118" s="55" t="s">
        <v>14</v>
      </c>
      <c r="C118" s="57" t="s">
        <v>23</v>
      </c>
      <c r="D118" s="55"/>
      <c r="E118" s="55" t="s">
        <v>130</v>
      </c>
      <c r="F118" s="56">
        <v>5503</v>
      </c>
      <c r="G118" s="56" t="s">
        <v>97</v>
      </c>
      <c r="H118" s="55" t="s">
        <v>47</v>
      </c>
      <c r="I118" s="65">
        <v>0.92</v>
      </c>
      <c r="J118" s="68">
        <v>65</v>
      </c>
      <c r="K118" s="68">
        <v>432</v>
      </c>
      <c r="L118" s="68">
        <v>580</v>
      </c>
      <c r="M118" s="69">
        <v>0.85</v>
      </c>
    </row>
    <row r="119" spans="1:13" x14ac:dyDescent="0.2">
      <c r="A119" s="57" t="s">
        <v>130</v>
      </c>
      <c r="B119" s="57" t="s">
        <v>14</v>
      </c>
      <c r="C119" s="57" t="s">
        <v>23</v>
      </c>
      <c r="D119" s="57"/>
      <c r="E119" s="57" t="s">
        <v>130</v>
      </c>
      <c r="F119" s="58">
        <v>6303</v>
      </c>
      <c r="G119" s="58" t="s">
        <v>98</v>
      </c>
      <c r="H119" s="57" t="s">
        <v>47</v>
      </c>
      <c r="I119" s="66"/>
      <c r="J119" s="70" t="s">
        <v>80</v>
      </c>
      <c r="K119" s="70" t="s">
        <v>80</v>
      </c>
      <c r="L119" s="70" t="s">
        <v>80</v>
      </c>
      <c r="M119" s="71">
        <v>0.85</v>
      </c>
    </row>
    <row r="120" spans="1:13" x14ac:dyDescent="0.2">
      <c r="A120" s="55" t="s">
        <v>130</v>
      </c>
      <c r="B120" s="55" t="s">
        <v>14</v>
      </c>
      <c r="C120" s="57" t="s">
        <v>23</v>
      </c>
      <c r="D120" s="55"/>
      <c r="E120" s="55" t="s">
        <v>130</v>
      </c>
      <c r="F120" s="56">
        <v>6304</v>
      </c>
      <c r="G120" s="56" t="s">
        <v>99</v>
      </c>
      <c r="H120" s="55" t="s">
        <v>47</v>
      </c>
      <c r="I120" s="65"/>
      <c r="J120" s="68" t="s">
        <v>80</v>
      </c>
      <c r="K120" s="68" t="s">
        <v>80</v>
      </c>
      <c r="L120" s="68" t="s">
        <v>80</v>
      </c>
      <c r="M120" s="69">
        <v>0.85</v>
      </c>
    </row>
    <row r="121" spans="1:13" x14ac:dyDescent="0.2">
      <c r="A121" s="57" t="s">
        <v>130</v>
      </c>
      <c r="B121" s="57" t="s">
        <v>14</v>
      </c>
      <c r="C121" s="57" t="s">
        <v>23</v>
      </c>
      <c r="D121" s="57"/>
      <c r="E121" s="57" t="s">
        <v>130</v>
      </c>
      <c r="F121" s="58">
        <v>5474</v>
      </c>
      <c r="G121" s="58" t="s">
        <v>131</v>
      </c>
      <c r="H121" s="57" t="s">
        <v>47</v>
      </c>
      <c r="I121" s="66">
        <v>1.19</v>
      </c>
      <c r="J121" s="70">
        <v>50</v>
      </c>
      <c r="K121" s="70">
        <v>335</v>
      </c>
      <c r="L121" s="70">
        <v>450</v>
      </c>
      <c r="M121" s="71">
        <v>0.85</v>
      </c>
    </row>
    <row r="122" spans="1:13" x14ac:dyDescent="0.2">
      <c r="A122" s="55" t="s">
        <v>132</v>
      </c>
      <c r="B122" s="55" t="s">
        <v>14</v>
      </c>
      <c r="C122" s="57" t="s">
        <v>23</v>
      </c>
      <c r="D122" s="55"/>
      <c r="E122" s="55" t="s">
        <v>132</v>
      </c>
      <c r="F122" s="56">
        <v>5507</v>
      </c>
      <c r="G122" s="56" t="s">
        <v>105</v>
      </c>
      <c r="H122" s="55" t="s">
        <v>40</v>
      </c>
      <c r="I122" s="65">
        <v>1.03</v>
      </c>
      <c r="J122" s="68">
        <v>58</v>
      </c>
      <c r="K122" s="68">
        <v>387</v>
      </c>
      <c r="L122" s="68">
        <v>519</v>
      </c>
      <c r="M122" s="69">
        <v>0.85</v>
      </c>
    </row>
    <row r="123" spans="1:13" x14ac:dyDescent="0.2">
      <c r="A123" s="57" t="s">
        <v>132</v>
      </c>
      <c r="B123" s="57" t="s">
        <v>14</v>
      </c>
      <c r="C123" s="57" t="s">
        <v>23</v>
      </c>
      <c r="D123" s="57"/>
      <c r="E123" s="57" t="s">
        <v>132</v>
      </c>
      <c r="F123" s="58">
        <v>5706</v>
      </c>
      <c r="G123" s="58" t="s">
        <v>109</v>
      </c>
      <c r="H123" s="57" t="s">
        <v>40</v>
      </c>
      <c r="I123" s="66">
        <v>2.06</v>
      </c>
      <c r="J123" s="70">
        <v>29</v>
      </c>
      <c r="K123" s="70">
        <v>193</v>
      </c>
      <c r="L123" s="70">
        <v>259</v>
      </c>
      <c r="M123" s="71">
        <v>0.85</v>
      </c>
    </row>
    <row r="124" spans="1:13" x14ac:dyDescent="0.2">
      <c r="A124" s="55" t="s">
        <v>133</v>
      </c>
      <c r="B124" s="55" t="s">
        <v>14</v>
      </c>
      <c r="C124" s="57" t="s">
        <v>23</v>
      </c>
      <c r="D124" s="55"/>
      <c r="E124" s="55" t="s">
        <v>133</v>
      </c>
      <c r="F124" s="56">
        <v>6084</v>
      </c>
      <c r="G124" s="56" t="s">
        <v>102</v>
      </c>
      <c r="H124" s="55" t="s">
        <v>40</v>
      </c>
      <c r="I124" s="65">
        <v>2.02</v>
      </c>
      <c r="J124" s="68">
        <v>29</v>
      </c>
      <c r="K124" s="68">
        <v>197</v>
      </c>
      <c r="L124" s="68">
        <v>265</v>
      </c>
      <c r="M124" s="69">
        <v>0.85</v>
      </c>
    </row>
    <row r="125" spans="1:13" x14ac:dyDescent="0.2">
      <c r="A125" s="57" t="s">
        <v>133</v>
      </c>
      <c r="B125" s="57" t="s">
        <v>14</v>
      </c>
      <c r="C125" s="57" t="s">
        <v>23</v>
      </c>
      <c r="D125" s="57"/>
      <c r="E125" s="57" t="s">
        <v>133</v>
      </c>
      <c r="F125" s="58">
        <v>6108</v>
      </c>
      <c r="G125" s="58" t="s">
        <v>103</v>
      </c>
      <c r="H125" s="57" t="s">
        <v>40</v>
      </c>
      <c r="I125" s="66">
        <v>2.02</v>
      </c>
      <c r="J125" s="70">
        <v>29</v>
      </c>
      <c r="K125" s="70">
        <v>197</v>
      </c>
      <c r="L125" s="70">
        <v>265</v>
      </c>
      <c r="M125" s="71">
        <v>0.85</v>
      </c>
    </row>
    <row r="126" spans="1:13" ht="24" x14ac:dyDescent="0.2">
      <c r="A126" s="55" t="s">
        <v>133</v>
      </c>
      <c r="B126" s="55" t="s">
        <v>14</v>
      </c>
      <c r="C126" s="57" t="s">
        <v>23</v>
      </c>
      <c r="D126" s="55"/>
      <c r="E126" s="55" t="s">
        <v>133</v>
      </c>
      <c r="F126" s="56">
        <v>5811</v>
      </c>
      <c r="G126" s="56" t="s">
        <v>72</v>
      </c>
      <c r="H126" s="55" t="s">
        <v>73</v>
      </c>
      <c r="I126" s="65">
        <v>1</v>
      </c>
      <c r="J126" s="68">
        <v>60</v>
      </c>
      <c r="K126" s="68">
        <v>399</v>
      </c>
      <c r="L126" s="68">
        <v>535</v>
      </c>
      <c r="M126" s="69">
        <v>0.85</v>
      </c>
    </row>
    <row r="127" spans="1:13" x14ac:dyDescent="0.2">
      <c r="A127" s="57" t="s">
        <v>133</v>
      </c>
      <c r="B127" s="57" t="s">
        <v>14</v>
      </c>
      <c r="C127" s="57" t="s">
        <v>23</v>
      </c>
      <c r="D127" s="57"/>
      <c r="E127" s="57" t="s">
        <v>133</v>
      </c>
      <c r="F127" s="58">
        <v>6163</v>
      </c>
      <c r="G127" s="58" t="s">
        <v>75</v>
      </c>
      <c r="H127" s="57" t="s">
        <v>73</v>
      </c>
      <c r="I127" s="66">
        <v>1</v>
      </c>
      <c r="J127" s="70">
        <v>60</v>
      </c>
      <c r="K127" s="70">
        <v>399</v>
      </c>
      <c r="L127" s="70">
        <v>535</v>
      </c>
      <c r="M127" s="71">
        <v>0.85</v>
      </c>
    </row>
    <row r="128" spans="1:13" x14ac:dyDescent="0.2">
      <c r="A128" s="55" t="s">
        <v>133</v>
      </c>
      <c r="B128" s="55" t="s">
        <v>14</v>
      </c>
      <c r="C128" s="57" t="s">
        <v>23</v>
      </c>
      <c r="D128" s="55"/>
      <c r="E128" s="55" t="s">
        <v>133</v>
      </c>
      <c r="F128" s="56">
        <v>6110</v>
      </c>
      <c r="G128" s="56" t="s">
        <v>134</v>
      </c>
      <c r="H128" s="55" t="s">
        <v>135</v>
      </c>
      <c r="I128" s="65">
        <v>2.85</v>
      </c>
      <c r="J128" s="68">
        <v>21</v>
      </c>
      <c r="K128" s="68">
        <v>140</v>
      </c>
      <c r="L128" s="68">
        <v>187</v>
      </c>
      <c r="M128" s="69">
        <v>0.85</v>
      </c>
    </row>
    <row r="129" spans="1:13" x14ac:dyDescent="0.2">
      <c r="A129" s="57" t="s">
        <v>133</v>
      </c>
      <c r="B129" s="57" t="s">
        <v>14</v>
      </c>
      <c r="C129" s="57" t="s">
        <v>23</v>
      </c>
      <c r="D129" s="57"/>
      <c r="E129" s="57" t="s">
        <v>133</v>
      </c>
      <c r="F129" s="58">
        <v>6303</v>
      </c>
      <c r="G129" s="58" t="s">
        <v>98</v>
      </c>
      <c r="H129" s="57" t="s">
        <v>47</v>
      </c>
      <c r="I129" s="66">
        <v>2</v>
      </c>
      <c r="J129" s="70">
        <v>30</v>
      </c>
      <c r="K129" s="70">
        <v>199</v>
      </c>
      <c r="L129" s="70">
        <v>267</v>
      </c>
      <c r="M129" s="71">
        <v>0.85</v>
      </c>
    </row>
    <row r="130" spans="1:13" x14ac:dyDescent="0.2">
      <c r="A130" s="55" t="s">
        <v>133</v>
      </c>
      <c r="B130" s="55" t="s">
        <v>14</v>
      </c>
      <c r="C130" s="57" t="s">
        <v>23</v>
      </c>
      <c r="D130" s="55"/>
      <c r="E130" s="55" t="s">
        <v>133</v>
      </c>
      <c r="F130" s="56">
        <v>6304</v>
      </c>
      <c r="G130" s="56" t="s">
        <v>99</v>
      </c>
      <c r="H130" s="55" t="s">
        <v>47</v>
      </c>
      <c r="I130" s="65">
        <v>2</v>
      </c>
      <c r="J130" s="68">
        <v>30</v>
      </c>
      <c r="K130" s="68">
        <v>199</v>
      </c>
      <c r="L130" s="68">
        <v>267</v>
      </c>
      <c r="M130" s="69">
        <v>0.85</v>
      </c>
    </row>
    <row r="131" spans="1:13" x14ac:dyDescent="0.2">
      <c r="A131" s="57" t="s">
        <v>136</v>
      </c>
      <c r="B131" s="57" t="s">
        <v>14</v>
      </c>
      <c r="C131" s="57" t="s">
        <v>23</v>
      </c>
      <c r="D131" s="57"/>
      <c r="E131" s="57" t="s">
        <v>136</v>
      </c>
      <c r="F131" s="58">
        <v>5806</v>
      </c>
      <c r="G131" s="58" t="s">
        <v>106</v>
      </c>
      <c r="H131" s="57" t="s">
        <v>40</v>
      </c>
      <c r="I131" s="66">
        <v>3</v>
      </c>
      <c r="J131" s="70">
        <v>20</v>
      </c>
      <c r="K131" s="70">
        <v>133</v>
      </c>
      <c r="L131" s="70">
        <v>178</v>
      </c>
      <c r="M131" s="71">
        <v>0.85</v>
      </c>
    </row>
    <row r="132" spans="1:13" x14ac:dyDescent="0.2">
      <c r="A132" s="55" t="s">
        <v>136</v>
      </c>
      <c r="B132" s="55" t="s">
        <v>14</v>
      </c>
      <c r="C132" s="57" t="s">
        <v>23</v>
      </c>
      <c r="D132" s="55"/>
      <c r="E132" s="55" t="s">
        <v>136</v>
      </c>
      <c r="F132" s="56">
        <v>5805</v>
      </c>
      <c r="G132" s="56" t="s">
        <v>108</v>
      </c>
      <c r="H132" s="55" t="s">
        <v>40</v>
      </c>
      <c r="I132" s="65">
        <v>4</v>
      </c>
      <c r="J132" s="68">
        <v>15</v>
      </c>
      <c r="K132" s="68">
        <v>99</v>
      </c>
      <c r="L132" s="68">
        <v>133</v>
      </c>
      <c r="M132" s="69">
        <v>0.85</v>
      </c>
    </row>
    <row r="133" spans="1:13" x14ac:dyDescent="0.2">
      <c r="A133" s="57" t="s">
        <v>136</v>
      </c>
      <c r="B133" s="57" t="s">
        <v>14</v>
      </c>
      <c r="C133" s="57" t="s">
        <v>23</v>
      </c>
      <c r="D133" s="57"/>
      <c r="E133" s="57" t="s">
        <v>136</v>
      </c>
      <c r="F133" s="58">
        <v>6701</v>
      </c>
      <c r="G133" s="58" t="s">
        <v>137</v>
      </c>
      <c r="H133" s="57" t="s">
        <v>138</v>
      </c>
      <c r="I133" s="66">
        <v>3.46</v>
      </c>
      <c r="J133" s="70">
        <v>17</v>
      </c>
      <c r="K133" s="70">
        <v>115</v>
      </c>
      <c r="L133" s="70">
        <v>154</v>
      </c>
      <c r="M133" s="71">
        <v>0.85</v>
      </c>
    </row>
    <row r="134" spans="1:13" ht="24" x14ac:dyDescent="0.2">
      <c r="A134" s="57" t="s">
        <v>139</v>
      </c>
      <c r="B134" s="57" t="s">
        <v>14</v>
      </c>
      <c r="C134" s="57" t="s">
        <v>85</v>
      </c>
      <c r="D134" s="57" t="s">
        <v>140</v>
      </c>
      <c r="E134" s="57" t="s">
        <v>139</v>
      </c>
      <c r="F134" s="58">
        <v>6406</v>
      </c>
      <c r="G134" s="58" t="s">
        <v>141</v>
      </c>
      <c r="H134" s="57" t="s">
        <v>40</v>
      </c>
      <c r="I134" s="66">
        <v>1.67</v>
      </c>
      <c r="J134" s="70">
        <v>35</v>
      </c>
      <c r="K134" s="70">
        <v>239</v>
      </c>
      <c r="L134" s="70">
        <v>321</v>
      </c>
      <c r="M134" s="71">
        <v>0.85</v>
      </c>
    </row>
    <row r="135" spans="1:13" ht="24" x14ac:dyDescent="0.2">
      <c r="A135" s="55" t="s">
        <v>139</v>
      </c>
      <c r="B135" s="55" t="s">
        <v>14</v>
      </c>
      <c r="C135" s="57" t="s">
        <v>85</v>
      </c>
      <c r="D135" s="55" t="s">
        <v>140</v>
      </c>
      <c r="E135" s="55" t="s">
        <v>139</v>
      </c>
      <c r="F135" s="56">
        <v>6410</v>
      </c>
      <c r="G135" s="56" t="s">
        <v>142</v>
      </c>
      <c r="H135" s="55" t="s">
        <v>40</v>
      </c>
      <c r="I135" s="65">
        <v>1.67</v>
      </c>
      <c r="J135" s="68">
        <v>35</v>
      </c>
      <c r="K135" s="68">
        <v>239</v>
      </c>
      <c r="L135" s="68">
        <v>321</v>
      </c>
      <c r="M135" s="69">
        <v>0.85</v>
      </c>
    </row>
    <row r="136" spans="1:13" ht="24" x14ac:dyDescent="0.2">
      <c r="A136" s="57" t="s">
        <v>139</v>
      </c>
      <c r="B136" s="57" t="s">
        <v>14</v>
      </c>
      <c r="C136" s="57" t="s">
        <v>85</v>
      </c>
      <c r="D136" s="57" t="s">
        <v>140</v>
      </c>
      <c r="E136" s="57" t="s">
        <v>139</v>
      </c>
      <c r="F136" s="58">
        <v>6411</v>
      </c>
      <c r="G136" s="58" t="s">
        <v>143</v>
      </c>
      <c r="H136" s="57" t="s">
        <v>40</v>
      </c>
      <c r="I136" s="66">
        <v>1.67</v>
      </c>
      <c r="J136" s="70">
        <v>35</v>
      </c>
      <c r="K136" s="70">
        <v>239</v>
      </c>
      <c r="L136" s="70">
        <v>321</v>
      </c>
      <c r="M136" s="71">
        <v>0.85</v>
      </c>
    </row>
    <row r="137" spans="1:13" ht="24" x14ac:dyDescent="0.2">
      <c r="A137" s="55" t="s">
        <v>139</v>
      </c>
      <c r="B137" s="55" t="s">
        <v>14</v>
      </c>
      <c r="C137" s="57" t="s">
        <v>85</v>
      </c>
      <c r="D137" s="55" t="s">
        <v>140</v>
      </c>
      <c r="E137" s="55" t="s">
        <v>139</v>
      </c>
      <c r="F137" s="56">
        <v>6407</v>
      </c>
      <c r="G137" s="56" t="s">
        <v>144</v>
      </c>
      <c r="H137" s="55" t="s">
        <v>40</v>
      </c>
      <c r="I137" s="65">
        <v>1.67</v>
      </c>
      <c r="J137" s="68">
        <v>35</v>
      </c>
      <c r="K137" s="68">
        <v>239</v>
      </c>
      <c r="L137" s="68">
        <v>321</v>
      </c>
      <c r="M137" s="69">
        <v>0.85</v>
      </c>
    </row>
    <row r="138" spans="1:13" ht="24" x14ac:dyDescent="0.2">
      <c r="A138" s="57" t="s">
        <v>139</v>
      </c>
      <c r="B138" s="57" t="s">
        <v>14</v>
      </c>
      <c r="C138" s="57" t="s">
        <v>85</v>
      </c>
      <c r="D138" s="57" t="s">
        <v>140</v>
      </c>
      <c r="E138" s="57" t="s">
        <v>139</v>
      </c>
      <c r="F138" s="58">
        <v>6404</v>
      </c>
      <c r="G138" s="58" t="s">
        <v>145</v>
      </c>
      <c r="H138" s="57" t="s">
        <v>40</v>
      </c>
      <c r="I138" s="66">
        <v>1.67</v>
      </c>
      <c r="J138" s="70">
        <v>35</v>
      </c>
      <c r="K138" s="70">
        <v>239</v>
      </c>
      <c r="L138" s="70">
        <v>321</v>
      </c>
      <c r="M138" s="71">
        <v>0.85</v>
      </c>
    </row>
    <row r="139" spans="1:13" ht="24" x14ac:dyDescent="0.2">
      <c r="A139" s="55" t="s">
        <v>139</v>
      </c>
      <c r="B139" s="55" t="s">
        <v>14</v>
      </c>
      <c r="C139" s="57" t="s">
        <v>85</v>
      </c>
      <c r="D139" s="55" t="s">
        <v>140</v>
      </c>
      <c r="E139" s="55" t="s">
        <v>139</v>
      </c>
      <c r="F139" s="56">
        <v>6409</v>
      </c>
      <c r="G139" s="56" t="s">
        <v>146</v>
      </c>
      <c r="H139" s="55" t="s">
        <v>40</v>
      </c>
      <c r="I139" s="65">
        <v>1.67</v>
      </c>
      <c r="J139" s="68">
        <v>35</v>
      </c>
      <c r="K139" s="68">
        <v>239</v>
      </c>
      <c r="L139" s="68">
        <v>321</v>
      </c>
      <c r="M139" s="69">
        <v>0.85</v>
      </c>
    </row>
    <row r="140" spans="1:13" ht="24" x14ac:dyDescent="0.2">
      <c r="A140" s="57" t="s">
        <v>139</v>
      </c>
      <c r="B140" s="57" t="s">
        <v>14</v>
      </c>
      <c r="C140" s="57" t="s">
        <v>85</v>
      </c>
      <c r="D140" s="57" t="s">
        <v>140</v>
      </c>
      <c r="E140" s="57" t="s">
        <v>139</v>
      </c>
      <c r="F140" s="58">
        <v>5835</v>
      </c>
      <c r="G140" s="58" t="s">
        <v>147</v>
      </c>
      <c r="H140" s="57" t="s">
        <v>40</v>
      </c>
      <c r="I140" s="66">
        <v>1.67</v>
      </c>
      <c r="J140" s="70">
        <v>35</v>
      </c>
      <c r="K140" s="70">
        <v>239</v>
      </c>
      <c r="L140" s="70">
        <v>321</v>
      </c>
      <c r="M140" s="71">
        <v>0.85</v>
      </c>
    </row>
    <row r="141" spans="1:13" ht="24" x14ac:dyDescent="0.2">
      <c r="A141" s="55" t="s">
        <v>139</v>
      </c>
      <c r="B141" s="55" t="s">
        <v>14</v>
      </c>
      <c r="C141" s="57" t="s">
        <v>85</v>
      </c>
      <c r="D141" s="55" t="s">
        <v>140</v>
      </c>
      <c r="E141" s="55" t="s">
        <v>139</v>
      </c>
      <c r="F141" s="56">
        <v>5836</v>
      </c>
      <c r="G141" s="56" t="s">
        <v>148</v>
      </c>
      <c r="H141" s="55" t="s">
        <v>40</v>
      </c>
      <c r="I141" s="65">
        <v>1.67</v>
      </c>
      <c r="J141" s="68">
        <v>35</v>
      </c>
      <c r="K141" s="68">
        <v>239</v>
      </c>
      <c r="L141" s="68">
        <v>321</v>
      </c>
      <c r="M141" s="69">
        <v>0.85</v>
      </c>
    </row>
    <row r="142" spans="1:13" ht="24" x14ac:dyDescent="0.2">
      <c r="A142" s="57" t="s">
        <v>139</v>
      </c>
      <c r="B142" s="57" t="s">
        <v>14</v>
      </c>
      <c r="C142" s="57" t="s">
        <v>85</v>
      </c>
      <c r="D142" s="57" t="s">
        <v>140</v>
      </c>
      <c r="E142" s="57" t="s">
        <v>139</v>
      </c>
      <c r="F142" s="58">
        <v>5837</v>
      </c>
      <c r="G142" s="58" t="s">
        <v>149</v>
      </c>
      <c r="H142" s="57" t="s">
        <v>40</v>
      </c>
      <c r="I142" s="66">
        <v>1.67</v>
      </c>
      <c r="J142" s="70">
        <v>35</v>
      </c>
      <c r="K142" s="70">
        <v>239</v>
      </c>
      <c r="L142" s="70">
        <v>321</v>
      </c>
      <c r="M142" s="71">
        <v>0.85</v>
      </c>
    </row>
    <row r="143" spans="1:13" ht="24" x14ac:dyDescent="0.2">
      <c r="A143" s="55" t="s">
        <v>139</v>
      </c>
      <c r="B143" s="55" t="s">
        <v>14</v>
      </c>
      <c r="C143" s="57" t="s">
        <v>85</v>
      </c>
      <c r="D143" s="55" t="s">
        <v>140</v>
      </c>
      <c r="E143" s="55" t="s">
        <v>139</v>
      </c>
      <c r="F143" s="56">
        <v>5838</v>
      </c>
      <c r="G143" s="56" t="s">
        <v>150</v>
      </c>
      <c r="H143" s="55" t="s">
        <v>40</v>
      </c>
      <c r="I143" s="65">
        <v>1.67</v>
      </c>
      <c r="J143" s="68">
        <v>35</v>
      </c>
      <c r="K143" s="68">
        <v>239</v>
      </c>
      <c r="L143" s="68">
        <v>321</v>
      </c>
      <c r="M143" s="69">
        <v>0.85</v>
      </c>
    </row>
    <row r="144" spans="1:13" ht="24" x14ac:dyDescent="0.2">
      <c r="A144" s="57" t="s">
        <v>139</v>
      </c>
      <c r="B144" s="57" t="s">
        <v>14</v>
      </c>
      <c r="C144" s="57" t="s">
        <v>85</v>
      </c>
      <c r="D144" s="57" t="s">
        <v>140</v>
      </c>
      <c r="E144" s="57" t="s">
        <v>139</v>
      </c>
      <c r="F144" s="58">
        <v>5839</v>
      </c>
      <c r="G144" s="58" t="s">
        <v>151</v>
      </c>
      <c r="H144" s="57" t="s">
        <v>40</v>
      </c>
      <c r="I144" s="66">
        <v>1.67</v>
      </c>
      <c r="J144" s="70">
        <v>35</v>
      </c>
      <c r="K144" s="70">
        <v>239</v>
      </c>
      <c r="L144" s="70">
        <v>321</v>
      </c>
      <c r="M144" s="71">
        <v>0.85</v>
      </c>
    </row>
    <row r="145" spans="1:13" ht="24" x14ac:dyDescent="0.2">
      <c r="A145" s="55" t="s">
        <v>139</v>
      </c>
      <c r="B145" s="55" t="s">
        <v>14</v>
      </c>
      <c r="C145" s="57" t="s">
        <v>85</v>
      </c>
      <c r="D145" s="55" t="s">
        <v>140</v>
      </c>
      <c r="E145" s="55" t="s">
        <v>139</v>
      </c>
      <c r="F145" s="56">
        <v>5834</v>
      </c>
      <c r="G145" s="56" t="s">
        <v>152</v>
      </c>
      <c r="H145" s="55" t="s">
        <v>40</v>
      </c>
      <c r="I145" s="65">
        <v>1.67</v>
      </c>
      <c r="J145" s="68">
        <v>35</v>
      </c>
      <c r="K145" s="68">
        <v>239</v>
      </c>
      <c r="L145" s="68">
        <v>321</v>
      </c>
      <c r="M145" s="69">
        <v>0.85</v>
      </c>
    </row>
    <row r="146" spans="1:13" ht="24" x14ac:dyDescent="0.2">
      <c r="A146" s="57" t="s">
        <v>139</v>
      </c>
      <c r="B146" s="57" t="s">
        <v>14</v>
      </c>
      <c r="C146" s="57" t="s">
        <v>85</v>
      </c>
      <c r="D146" s="57" t="s">
        <v>140</v>
      </c>
      <c r="E146" s="57" t="s">
        <v>139</v>
      </c>
      <c r="F146" s="58">
        <v>6413</v>
      </c>
      <c r="G146" s="58" t="s">
        <v>153</v>
      </c>
      <c r="H146" s="57" t="s">
        <v>40</v>
      </c>
      <c r="I146" s="66">
        <v>1.67</v>
      </c>
      <c r="J146" s="70">
        <v>35</v>
      </c>
      <c r="K146" s="70">
        <v>239</v>
      </c>
      <c r="L146" s="70">
        <v>321</v>
      </c>
      <c r="M146" s="71">
        <v>0.85</v>
      </c>
    </row>
    <row r="147" spans="1:13" ht="24" x14ac:dyDescent="0.2">
      <c r="A147" s="55" t="s">
        <v>139</v>
      </c>
      <c r="B147" s="55" t="s">
        <v>14</v>
      </c>
      <c r="C147" s="57" t="s">
        <v>85</v>
      </c>
      <c r="D147" s="55" t="s">
        <v>140</v>
      </c>
      <c r="E147" s="55" t="s">
        <v>139</v>
      </c>
      <c r="F147" s="56">
        <v>6414</v>
      </c>
      <c r="G147" s="56" t="s">
        <v>154</v>
      </c>
      <c r="H147" s="55" t="s">
        <v>40</v>
      </c>
      <c r="I147" s="65">
        <v>1.67</v>
      </c>
      <c r="J147" s="68">
        <v>35</v>
      </c>
      <c r="K147" s="68">
        <v>239</v>
      </c>
      <c r="L147" s="68">
        <v>321</v>
      </c>
      <c r="M147" s="69">
        <v>0.85</v>
      </c>
    </row>
    <row r="148" spans="1:13" ht="24" x14ac:dyDescent="0.2">
      <c r="A148" s="57" t="s">
        <v>139</v>
      </c>
      <c r="B148" s="57" t="s">
        <v>14</v>
      </c>
      <c r="C148" s="57" t="s">
        <v>85</v>
      </c>
      <c r="D148" s="57" t="s">
        <v>140</v>
      </c>
      <c r="E148" s="57" t="s">
        <v>139</v>
      </c>
      <c r="F148" s="58">
        <v>6087</v>
      </c>
      <c r="G148" s="58" t="s">
        <v>155</v>
      </c>
      <c r="H148" s="57" t="s">
        <v>40</v>
      </c>
      <c r="I148" s="66">
        <v>1.67</v>
      </c>
      <c r="J148" s="70">
        <v>35</v>
      </c>
      <c r="K148" s="70">
        <v>239</v>
      </c>
      <c r="L148" s="70">
        <v>321</v>
      </c>
      <c r="M148" s="71">
        <v>0.85</v>
      </c>
    </row>
    <row r="149" spans="1:13" ht="24" x14ac:dyDescent="0.2">
      <c r="A149" s="55" t="s">
        <v>139</v>
      </c>
      <c r="B149" s="55" t="s">
        <v>14</v>
      </c>
      <c r="C149" s="57" t="s">
        <v>85</v>
      </c>
      <c r="D149" s="55" t="s">
        <v>140</v>
      </c>
      <c r="E149" s="55" t="s">
        <v>139</v>
      </c>
      <c r="F149" s="56">
        <v>6406</v>
      </c>
      <c r="G149" s="56" t="s">
        <v>141</v>
      </c>
      <c r="H149" s="55" t="s">
        <v>40</v>
      </c>
      <c r="I149" s="65">
        <v>1.67</v>
      </c>
      <c r="J149" s="68">
        <v>35</v>
      </c>
      <c r="K149" s="68">
        <v>239</v>
      </c>
      <c r="L149" s="68">
        <v>321</v>
      </c>
      <c r="M149" s="69">
        <v>0.85</v>
      </c>
    </row>
    <row r="150" spans="1:13" ht="24" x14ac:dyDescent="0.2">
      <c r="A150" s="57" t="s">
        <v>139</v>
      </c>
      <c r="B150" s="57" t="s">
        <v>14</v>
      </c>
      <c r="C150" s="57" t="s">
        <v>85</v>
      </c>
      <c r="D150" s="57" t="s">
        <v>140</v>
      </c>
      <c r="E150" s="57" t="s">
        <v>139</v>
      </c>
      <c r="F150" s="58">
        <v>6410</v>
      </c>
      <c r="G150" s="58" t="s">
        <v>142</v>
      </c>
      <c r="H150" s="57" t="s">
        <v>40</v>
      </c>
      <c r="I150" s="66">
        <v>1.67</v>
      </c>
      <c r="J150" s="70">
        <v>35</v>
      </c>
      <c r="K150" s="70">
        <v>239</v>
      </c>
      <c r="L150" s="70">
        <v>321</v>
      </c>
      <c r="M150" s="71">
        <v>0.85</v>
      </c>
    </row>
    <row r="151" spans="1:13" ht="24" x14ac:dyDescent="0.2">
      <c r="A151" s="55" t="s">
        <v>139</v>
      </c>
      <c r="B151" s="55" t="s">
        <v>14</v>
      </c>
      <c r="C151" s="57" t="s">
        <v>85</v>
      </c>
      <c r="D151" s="55" t="s">
        <v>140</v>
      </c>
      <c r="E151" s="55" t="s">
        <v>139</v>
      </c>
      <c r="F151" s="56">
        <v>6411</v>
      </c>
      <c r="G151" s="56" t="s">
        <v>143</v>
      </c>
      <c r="H151" s="55" t="s">
        <v>40</v>
      </c>
      <c r="I151" s="65">
        <v>1.67</v>
      </c>
      <c r="J151" s="68">
        <v>35</v>
      </c>
      <c r="K151" s="68">
        <v>239</v>
      </c>
      <c r="L151" s="68">
        <v>321</v>
      </c>
      <c r="M151" s="69">
        <v>0.85</v>
      </c>
    </row>
    <row r="152" spans="1:13" ht="24" x14ac:dyDescent="0.2">
      <c r="A152" s="57" t="s">
        <v>139</v>
      </c>
      <c r="B152" s="57" t="s">
        <v>14</v>
      </c>
      <c r="C152" s="57" t="s">
        <v>85</v>
      </c>
      <c r="D152" s="57" t="s">
        <v>140</v>
      </c>
      <c r="E152" s="57" t="s">
        <v>139</v>
      </c>
      <c r="F152" s="58">
        <v>6407</v>
      </c>
      <c r="G152" s="58" t="s">
        <v>144</v>
      </c>
      <c r="H152" s="57" t="s">
        <v>40</v>
      </c>
      <c r="I152" s="66">
        <v>1.67</v>
      </c>
      <c r="J152" s="70">
        <v>35</v>
      </c>
      <c r="K152" s="70">
        <v>239</v>
      </c>
      <c r="L152" s="70">
        <v>321</v>
      </c>
      <c r="M152" s="71">
        <v>0.85</v>
      </c>
    </row>
    <row r="153" spans="1:13" ht="24.75" thickBot="1" x14ac:dyDescent="0.25">
      <c r="A153" s="55" t="s">
        <v>139</v>
      </c>
      <c r="B153" s="55" t="s">
        <v>14</v>
      </c>
      <c r="C153" s="57" t="s">
        <v>85</v>
      </c>
      <c r="D153" s="55" t="s">
        <v>140</v>
      </c>
      <c r="E153" s="55" t="s">
        <v>139</v>
      </c>
      <c r="F153" s="56">
        <v>6404</v>
      </c>
      <c r="G153" s="56" t="s">
        <v>145</v>
      </c>
      <c r="H153" s="55" t="s">
        <v>40</v>
      </c>
      <c r="I153" s="65">
        <v>1.67</v>
      </c>
      <c r="J153" s="68">
        <v>35</v>
      </c>
      <c r="K153" s="68">
        <v>239</v>
      </c>
      <c r="L153" s="68">
        <v>321</v>
      </c>
      <c r="M153" s="69">
        <v>0.85</v>
      </c>
    </row>
    <row r="154" spans="1:13" ht="24" x14ac:dyDescent="0.2">
      <c r="A154" s="57" t="s">
        <v>139</v>
      </c>
      <c r="B154" s="57" t="s">
        <v>14</v>
      </c>
      <c r="C154" s="57" t="s">
        <v>85</v>
      </c>
      <c r="D154" s="57" t="s">
        <v>140</v>
      </c>
      <c r="E154" s="57" t="s">
        <v>139</v>
      </c>
      <c r="F154" s="58">
        <v>6409</v>
      </c>
      <c r="G154" s="58" t="s">
        <v>146</v>
      </c>
      <c r="H154" s="57" t="s">
        <v>40</v>
      </c>
      <c r="I154" s="66">
        <v>1.67</v>
      </c>
      <c r="J154" s="70">
        <v>35</v>
      </c>
      <c r="K154" s="70">
        <v>239</v>
      </c>
      <c r="L154" s="70">
        <v>321</v>
      </c>
      <c r="M154" s="71">
        <v>0.85</v>
      </c>
    </row>
    <row r="155" spans="1:13" ht="24" x14ac:dyDescent="0.2">
      <c r="A155" s="55" t="s">
        <v>139</v>
      </c>
      <c r="B155" s="55" t="s">
        <v>14</v>
      </c>
      <c r="C155" s="57" t="s">
        <v>85</v>
      </c>
      <c r="D155" s="55" t="s">
        <v>140</v>
      </c>
      <c r="E155" s="55" t="s">
        <v>139</v>
      </c>
      <c r="F155" s="56">
        <v>5835</v>
      </c>
      <c r="G155" s="56" t="s">
        <v>147</v>
      </c>
      <c r="H155" s="55" t="s">
        <v>40</v>
      </c>
      <c r="I155" s="65">
        <v>1.67</v>
      </c>
      <c r="J155" s="68">
        <v>35</v>
      </c>
      <c r="K155" s="68">
        <v>239</v>
      </c>
      <c r="L155" s="68">
        <v>321</v>
      </c>
      <c r="M155" s="69">
        <v>0.85</v>
      </c>
    </row>
    <row r="156" spans="1:13" ht="24" x14ac:dyDescent="0.2">
      <c r="A156" s="57" t="s">
        <v>139</v>
      </c>
      <c r="B156" s="57" t="s">
        <v>14</v>
      </c>
      <c r="C156" s="57" t="s">
        <v>85</v>
      </c>
      <c r="D156" s="57" t="s">
        <v>140</v>
      </c>
      <c r="E156" s="57" t="s">
        <v>139</v>
      </c>
      <c r="F156" s="58">
        <v>5836</v>
      </c>
      <c r="G156" s="58" t="s">
        <v>148</v>
      </c>
      <c r="H156" s="57" t="s">
        <v>40</v>
      </c>
      <c r="I156" s="66">
        <v>1.67</v>
      </c>
      <c r="J156" s="70">
        <v>35</v>
      </c>
      <c r="K156" s="70">
        <v>239</v>
      </c>
      <c r="L156" s="70">
        <v>321</v>
      </c>
      <c r="M156" s="71">
        <v>0.85</v>
      </c>
    </row>
    <row r="157" spans="1:13" ht="24" x14ac:dyDescent="0.2">
      <c r="A157" s="55" t="s">
        <v>139</v>
      </c>
      <c r="B157" s="55" t="s">
        <v>14</v>
      </c>
      <c r="C157" s="57" t="s">
        <v>85</v>
      </c>
      <c r="D157" s="55" t="s">
        <v>140</v>
      </c>
      <c r="E157" s="55" t="s">
        <v>139</v>
      </c>
      <c r="F157" s="56">
        <v>5837</v>
      </c>
      <c r="G157" s="56" t="s">
        <v>149</v>
      </c>
      <c r="H157" s="55" t="s">
        <v>40</v>
      </c>
      <c r="I157" s="65">
        <v>1.67</v>
      </c>
      <c r="J157" s="68">
        <v>35</v>
      </c>
      <c r="K157" s="68">
        <v>239</v>
      </c>
      <c r="L157" s="68">
        <v>321</v>
      </c>
      <c r="M157" s="69">
        <v>0.85</v>
      </c>
    </row>
    <row r="158" spans="1:13" ht="24" x14ac:dyDescent="0.2">
      <c r="A158" s="57" t="s">
        <v>139</v>
      </c>
      <c r="B158" s="57" t="s">
        <v>14</v>
      </c>
      <c r="C158" s="57" t="s">
        <v>85</v>
      </c>
      <c r="D158" s="57" t="s">
        <v>140</v>
      </c>
      <c r="E158" s="57" t="s">
        <v>139</v>
      </c>
      <c r="F158" s="58">
        <v>5838</v>
      </c>
      <c r="G158" s="58" t="s">
        <v>150</v>
      </c>
      <c r="H158" s="57" t="s">
        <v>40</v>
      </c>
      <c r="I158" s="66">
        <v>1.67</v>
      </c>
      <c r="J158" s="70">
        <v>35</v>
      </c>
      <c r="K158" s="70">
        <v>239</v>
      </c>
      <c r="L158" s="70">
        <v>321</v>
      </c>
      <c r="M158" s="71">
        <v>0.85</v>
      </c>
    </row>
    <row r="159" spans="1:13" ht="24" x14ac:dyDescent="0.2">
      <c r="A159" s="55" t="s">
        <v>139</v>
      </c>
      <c r="B159" s="55" t="s">
        <v>14</v>
      </c>
      <c r="C159" s="57" t="s">
        <v>85</v>
      </c>
      <c r="D159" s="55" t="s">
        <v>140</v>
      </c>
      <c r="E159" s="55" t="s">
        <v>139</v>
      </c>
      <c r="F159" s="56">
        <v>5839</v>
      </c>
      <c r="G159" s="56" t="s">
        <v>151</v>
      </c>
      <c r="H159" s="55" t="s">
        <v>40</v>
      </c>
      <c r="I159" s="65">
        <v>1.67</v>
      </c>
      <c r="J159" s="68">
        <v>35</v>
      </c>
      <c r="K159" s="68">
        <v>239</v>
      </c>
      <c r="L159" s="68">
        <v>321</v>
      </c>
      <c r="M159" s="69">
        <v>0.85</v>
      </c>
    </row>
    <row r="160" spans="1:13" ht="24" x14ac:dyDescent="0.2">
      <c r="A160" s="57" t="s">
        <v>139</v>
      </c>
      <c r="B160" s="57" t="s">
        <v>14</v>
      </c>
      <c r="C160" s="57" t="s">
        <v>85</v>
      </c>
      <c r="D160" s="57" t="s">
        <v>140</v>
      </c>
      <c r="E160" s="57" t="s">
        <v>139</v>
      </c>
      <c r="F160" s="58">
        <v>5834</v>
      </c>
      <c r="G160" s="58" t="s">
        <v>152</v>
      </c>
      <c r="H160" s="57" t="s">
        <v>40</v>
      </c>
      <c r="I160" s="66">
        <v>1.67</v>
      </c>
      <c r="J160" s="70">
        <v>35</v>
      </c>
      <c r="K160" s="70">
        <v>239</v>
      </c>
      <c r="L160" s="70">
        <v>321</v>
      </c>
      <c r="M160" s="71">
        <v>0.85</v>
      </c>
    </row>
    <row r="161" spans="1:13" ht="24" x14ac:dyDescent="0.2">
      <c r="A161" s="55" t="s">
        <v>139</v>
      </c>
      <c r="B161" s="55" t="s">
        <v>14</v>
      </c>
      <c r="C161" s="57" t="s">
        <v>85</v>
      </c>
      <c r="D161" s="55" t="s">
        <v>140</v>
      </c>
      <c r="E161" s="55" t="s">
        <v>139</v>
      </c>
      <c r="F161" s="56">
        <v>6413</v>
      </c>
      <c r="G161" s="56" t="s">
        <v>153</v>
      </c>
      <c r="H161" s="55" t="s">
        <v>40</v>
      </c>
      <c r="I161" s="65">
        <v>1.67</v>
      </c>
      <c r="J161" s="68">
        <v>35</v>
      </c>
      <c r="K161" s="68">
        <v>239</v>
      </c>
      <c r="L161" s="68">
        <v>321</v>
      </c>
      <c r="M161" s="69">
        <v>0.85</v>
      </c>
    </row>
    <row r="162" spans="1:13" ht="24" x14ac:dyDescent="0.2">
      <c r="A162" s="57" t="s">
        <v>139</v>
      </c>
      <c r="B162" s="57" t="s">
        <v>14</v>
      </c>
      <c r="C162" s="57" t="s">
        <v>85</v>
      </c>
      <c r="D162" s="57" t="s">
        <v>140</v>
      </c>
      <c r="E162" s="57" t="s">
        <v>139</v>
      </c>
      <c r="F162" s="58">
        <v>6414</v>
      </c>
      <c r="G162" s="58" t="s">
        <v>154</v>
      </c>
      <c r="H162" s="57" t="s">
        <v>40</v>
      </c>
      <c r="I162" s="66">
        <v>1.67</v>
      </c>
      <c r="J162" s="70">
        <v>35</v>
      </c>
      <c r="K162" s="70">
        <v>239</v>
      </c>
      <c r="L162" s="70">
        <v>321</v>
      </c>
      <c r="M162" s="71">
        <v>0.85</v>
      </c>
    </row>
    <row r="163" spans="1:13" ht="24" x14ac:dyDescent="0.2">
      <c r="A163" s="55" t="s">
        <v>139</v>
      </c>
      <c r="B163" s="55" t="s">
        <v>14</v>
      </c>
      <c r="C163" s="57" t="s">
        <v>85</v>
      </c>
      <c r="D163" s="55" t="s">
        <v>140</v>
      </c>
      <c r="E163" s="55" t="s">
        <v>139</v>
      </c>
      <c r="F163" s="56">
        <v>6087</v>
      </c>
      <c r="G163" s="56" t="s">
        <v>155</v>
      </c>
      <c r="H163" s="55" t="s">
        <v>40</v>
      </c>
      <c r="I163" s="65">
        <v>1.67</v>
      </c>
      <c r="J163" s="68">
        <v>35</v>
      </c>
      <c r="K163" s="68">
        <v>239</v>
      </c>
      <c r="L163" s="68">
        <v>321</v>
      </c>
      <c r="M163" s="69">
        <v>0.85</v>
      </c>
    </row>
    <row r="164" spans="1:13" ht="24" x14ac:dyDescent="0.2">
      <c r="A164" s="57" t="s">
        <v>156</v>
      </c>
      <c r="B164" s="57" t="s">
        <v>14</v>
      </c>
      <c r="C164" s="57" t="s">
        <v>85</v>
      </c>
      <c r="D164" s="57" t="s">
        <v>157</v>
      </c>
      <c r="E164" s="57" t="s">
        <v>158</v>
      </c>
      <c r="F164" s="58">
        <v>6406</v>
      </c>
      <c r="G164" s="58" t="s">
        <v>141</v>
      </c>
      <c r="H164" s="57" t="s">
        <v>40</v>
      </c>
      <c r="I164" s="66">
        <v>1.67</v>
      </c>
      <c r="J164" s="70">
        <v>35</v>
      </c>
      <c r="K164" s="70">
        <v>239</v>
      </c>
      <c r="L164" s="70">
        <v>321</v>
      </c>
      <c r="M164" s="71">
        <v>0.85</v>
      </c>
    </row>
    <row r="165" spans="1:13" ht="24" x14ac:dyDescent="0.2">
      <c r="A165" s="55" t="s">
        <v>156</v>
      </c>
      <c r="B165" s="55" t="s">
        <v>14</v>
      </c>
      <c r="C165" s="57" t="s">
        <v>85</v>
      </c>
      <c r="D165" s="55" t="s">
        <v>157</v>
      </c>
      <c r="E165" s="55" t="s">
        <v>158</v>
      </c>
      <c r="F165" s="56">
        <v>6410</v>
      </c>
      <c r="G165" s="56" t="s">
        <v>142</v>
      </c>
      <c r="H165" s="55" t="s">
        <v>40</v>
      </c>
      <c r="I165" s="65">
        <v>1.67</v>
      </c>
      <c r="J165" s="68">
        <v>35</v>
      </c>
      <c r="K165" s="68">
        <v>239</v>
      </c>
      <c r="L165" s="68">
        <v>321</v>
      </c>
      <c r="M165" s="69">
        <v>0.85</v>
      </c>
    </row>
    <row r="166" spans="1:13" ht="24" x14ac:dyDescent="0.2">
      <c r="A166" s="57" t="s">
        <v>156</v>
      </c>
      <c r="B166" s="57" t="s">
        <v>14</v>
      </c>
      <c r="C166" s="57" t="s">
        <v>85</v>
      </c>
      <c r="D166" s="57" t="s">
        <v>157</v>
      </c>
      <c r="E166" s="57" t="s">
        <v>158</v>
      </c>
      <c r="F166" s="58">
        <v>6411</v>
      </c>
      <c r="G166" s="58" t="s">
        <v>143</v>
      </c>
      <c r="H166" s="57" t="s">
        <v>40</v>
      </c>
      <c r="I166" s="66">
        <v>1.67</v>
      </c>
      <c r="J166" s="70">
        <v>35</v>
      </c>
      <c r="K166" s="70">
        <v>239</v>
      </c>
      <c r="L166" s="70">
        <v>321</v>
      </c>
      <c r="M166" s="71">
        <v>0.85</v>
      </c>
    </row>
    <row r="167" spans="1:13" ht="24" x14ac:dyDescent="0.2">
      <c r="A167" s="55" t="s">
        <v>156</v>
      </c>
      <c r="B167" s="55" t="s">
        <v>14</v>
      </c>
      <c r="C167" s="57" t="s">
        <v>85</v>
      </c>
      <c r="D167" s="55" t="s">
        <v>157</v>
      </c>
      <c r="E167" s="55" t="s">
        <v>158</v>
      </c>
      <c r="F167" s="56">
        <v>6407</v>
      </c>
      <c r="G167" s="56" t="s">
        <v>144</v>
      </c>
      <c r="H167" s="55" t="s">
        <v>40</v>
      </c>
      <c r="I167" s="65">
        <v>1.67</v>
      </c>
      <c r="J167" s="68">
        <v>35</v>
      </c>
      <c r="K167" s="68">
        <v>239</v>
      </c>
      <c r="L167" s="68">
        <v>321</v>
      </c>
      <c r="M167" s="69">
        <v>0.85</v>
      </c>
    </row>
    <row r="168" spans="1:13" ht="24" x14ac:dyDescent="0.2">
      <c r="A168" s="57" t="s">
        <v>156</v>
      </c>
      <c r="B168" s="57" t="s">
        <v>14</v>
      </c>
      <c r="C168" s="57" t="s">
        <v>85</v>
      </c>
      <c r="D168" s="57" t="s">
        <v>157</v>
      </c>
      <c r="E168" s="57" t="s">
        <v>158</v>
      </c>
      <c r="F168" s="58">
        <v>6404</v>
      </c>
      <c r="G168" s="58" t="s">
        <v>145</v>
      </c>
      <c r="H168" s="57" t="s">
        <v>40</v>
      </c>
      <c r="I168" s="66">
        <v>1.67</v>
      </c>
      <c r="J168" s="70">
        <v>35</v>
      </c>
      <c r="K168" s="70">
        <v>239</v>
      </c>
      <c r="L168" s="70">
        <v>321</v>
      </c>
      <c r="M168" s="71">
        <v>0.85</v>
      </c>
    </row>
    <row r="169" spans="1:13" ht="24" x14ac:dyDescent="0.2">
      <c r="A169" s="55" t="s">
        <v>156</v>
      </c>
      <c r="B169" s="55" t="s">
        <v>14</v>
      </c>
      <c r="C169" s="57" t="s">
        <v>85</v>
      </c>
      <c r="D169" s="55" t="s">
        <v>157</v>
      </c>
      <c r="E169" s="55" t="s">
        <v>158</v>
      </c>
      <c r="F169" s="56">
        <v>6409</v>
      </c>
      <c r="G169" s="56" t="s">
        <v>146</v>
      </c>
      <c r="H169" s="55" t="s">
        <v>40</v>
      </c>
      <c r="I169" s="65">
        <v>1.67</v>
      </c>
      <c r="J169" s="68">
        <v>35</v>
      </c>
      <c r="K169" s="68">
        <v>239</v>
      </c>
      <c r="L169" s="68">
        <v>321</v>
      </c>
      <c r="M169" s="69">
        <v>0.85</v>
      </c>
    </row>
    <row r="170" spans="1:13" ht="24" x14ac:dyDescent="0.2">
      <c r="A170" s="57" t="s">
        <v>156</v>
      </c>
      <c r="B170" s="57" t="s">
        <v>14</v>
      </c>
      <c r="C170" s="57" t="s">
        <v>85</v>
      </c>
      <c r="D170" s="57" t="s">
        <v>157</v>
      </c>
      <c r="E170" s="57" t="s">
        <v>158</v>
      </c>
      <c r="F170" s="58">
        <v>5835</v>
      </c>
      <c r="G170" s="58" t="s">
        <v>147</v>
      </c>
      <c r="H170" s="57" t="s">
        <v>40</v>
      </c>
      <c r="I170" s="66">
        <v>1.67</v>
      </c>
      <c r="J170" s="70">
        <v>35</v>
      </c>
      <c r="K170" s="70">
        <v>239</v>
      </c>
      <c r="L170" s="70">
        <v>321</v>
      </c>
      <c r="M170" s="71">
        <v>0.85</v>
      </c>
    </row>
    <row r="171" spans="1:13" ht="24" x14ac:dyDescent="0.2">
      <c r="A171" s="55" t="s">
        <v>156</v>
      </c>
      <c r="B171" s="55" t="s">
        <v>14</v>
      </c>
      <c r="C171" s="57" t="s">
        <v>85</v>
      </c>
      <c r="D171" s="55" t="s">
        <v>157</v>
      </c>
      <c r="E171" s="55" t="s">
        <v>158</v>
      </c>
      <c r="F171" s="56">
        <v>5836</v>
      </c>
      <c r="G171" s="56" t="s">
        <v>148</v>
      </c>
      <c r="H171" s="55" t="s">
        <v>40</v>
      </c>
      <c r="I171" s="65">
        <v>1.67</v>
      </c>
      <c r="J171" s="68">
        <v>35</v>
      </c>
      <c r="K171" s="68">
        <v>239</v>
      </c>
      <c r="L171" s="68">
        <v>321</v>
      </c>
      <c r="M171" s="69">
        <v>0.85</v>
      </c>
    </row>
    <row r="172" spans="1:13" ht="24" x14ac:dyDescent="0.2">
      <c r="A172" s="57" t="s">
        <v>156</v>
      </c>
      <c r="B172" s="57" t="s">
        <v>14</v>
      </c>
      <c r="C172" s="57" t="s">
        <v>85</v>
      </c>
      <c r="D172" s="57" t="s">
        <v>157</v>
      </c>
      <c r="E172" s="57" t="s">
        <v>158</v>
      </c>
      <c r="F172" s="58">
        <v>5837</v>
      </c>
      <c r="G172" s="58" t="s">
        <v>149</v>
      </c>
      <c r="H172" s="57" t="s">
        <v>40</v>
      </c>
      <c r="I172" s="66">
        <v>1.67</v>
      </c>
      <c r="J172" s="70">
        <v>35</v>
      </c>
      <c r="K172" s="70">
        <v>239</v>
      </c>
      <c r="L172" s="70">
        <v>321</v>
      </c>
      <c r="M172" s="71">
        <v>0.85</v>
      </c>
    </row>
    <row r="173" spans="1:13" ht="24" x14ac:dyDescent="0.2">
      <c r="A173" s="55" t="s">
        <v>156</v>
      </c>
      <c r="B173" s="55" t="s">
        <v>14</v>
      </c>
      <c r="C173" s="57" t="s">
        <v>85</v>
      </c>
      <c r="D173" s="55" t="s">
        <v>157</v>
      </c>
      <c r="E173" s="55" t="s">
        <v>158</v>
      </c>
      <c r="F173" s="56">
        <v>5838</v>
      </c>
      <c r="G173" s="56" t="s">
        <v>150</v>
      </c>
      <c r="H173" s="55" t="s">
        <v>40</v>
      </c>
      <c r="I173" s="65">
        <v>1.67</v>
      </c>
      <c r="J173" s="68">
        <v>35</v>
      </c>
      <c r="K173" s="68">
        <v>239</v>
      </c>
      <c r="L173" s="68">
        <v>321</v>
      </c>
      <c r="M173" s="69">
        <v>0.85</v>
      </c>
    </row>
    <row r="174" spans="1:13" ht="24" x14ac:dyDescent="0.2">
      <c r="A174" s="57" t="s">
        <v>156</v>
      </c>
      <c r="B174" s="57" t="s">
        <v>14</v>
      </c>
      <c r="C174" s="57" t="s">
        <v>85</v>
      </c>
      <c r="D174" s="57" t="s">
        <v>157</v>
      </c>
      <c r="E174" s="57" t="s">
        <v>158</v>
      </c>
      <c r="F174" s="58">
        <v>5839</v>
      </c>
      <c r="G174" s="58" t="s">
        <v>151</v>
      </c>
      <c r="H174" s="57" t="s">
        <v>40</v>
      </c>
      <c r="I174" s="66">
        <v>1.67</v>
      </c>
      <c r="J174" s="70">
        <v>35</v>
      </c>
      <c r="K174" s="70">
        <v>239</v>
      </c>
      <c r="L174" s="70">
        <v>321</v>
      </c>
      <c r="M174" s="71">
        <v>0.85</v>
      </c>
    </row>
    <row r="175" spans="1:13" ht="24" x14ac:dyDescent="0.2">
      <c r="A175" s="55" t="s">
        <v>156</v>
      </c>
      <c r="B175" s="55" t="s">
        <v>14</v>
      </c>
      <c r="C175" s="57" t="s">
        <v>85</v>
      </c>
      <c r="D175" s="55" t="s">
        <v>157</v>
      </c>
      <c r="E175" s="55" t="s">
        <v>158</v>
      </c>
      <c r="F175" s="56">
        <v>5834</v>
      </c>
      <c r="G175" s="56" t="s">
        <v>152</v>
      </c>
      <c r="H175" s="55" t="s">
        <v>40</v>
      </c>
      <c r="I175" s="65">
        <v>1.67</v>
      </c>
      <c r="J175" s="68">
        <v>35</v>
      </c>
      <c r="K175" s="68">
        <v>239</v>
      </c>
      <c r="L175" s="68">
        <v>321</v>
      </c>
      <c r="M175" s="69">
        <v>0.85</v>
      </c>
    </row>
    <row r="176" spans="1:13" ht="24" x14ac:dyDescent="0.2">
      <c r="A176" s="57" t="s">
        <v>156</v>
      </c>
      <c r="B176" s="57" t="s">
        <v>14</v>
      </c>
      <c r="C176" s="57" t="s">
        <v>85</v>
      </c>
      <c r="D176" s="57" t="s">
        <v>157</v>
      </c>
      <c r="E176" s="57" t="s">
        <v>158</v>
      </c>
      <c r="F176" s="58">
        <v>6413</v>
      </c>
      <c r="G176" s="58" t="s">
        <v>153</v>
      </c>
      <c r="H176" s="57" t="s">
        <v>40</v>
      </c>
      <c r="I176" s="66">
        <v>1.67</v>
      </c>
      <c r="J176" s="70">
        <v>35</v>
      </c>
      <c r="K176" s="70">
        <v>239</v>
      </c>
      <c r="L176" s="70">
        <v>321</v>
      </c>
      <c r="M176" s="71">
        <v>0.85</v>
      </c>
    </row>
    <row r="177" spans="1:13" ht="24" x14ac:dyDescent="0.2">
      <c r="A177" s="55" t="s">
        <v>156</v>
      </c>
      <c r="B177" s="55" t="s">
        <v>14</v>
      </c>
      <c r="C177" s="57" t="s">
        <v>85</v>
      </c>
      <c r="D177" s="55" t="s">
        <v>157</v>
      </c>
      <c r="E177" s="55" t="s">
        <v>158</v>
      </c>
      <c r="F177" s="56">
        <v>6414</v>
      </c>
      <c r="G177" s="56" t="s">
        <v>154</v>
      </c>
      <c r="H177" s="55" t="s">
        <v>40</v>
      </c>
      <c r="I177" s="65">
        <v>1.67</v>
      </c>
      <c r="J177" s="68">
        <v>35</v>
      </c>
      <c r="K177" s="68">
        <v>239</v>
      </c>
      <c r="L177" s="68">
        <v>321</v>
      </c>
      <c r="M177" s="69">
        <v>0.85</v>
      </c>
    </row>
    <row r="178" spans="1:13" ht="24" x14ac:dyDescent="0.2">
      <c r="A178" s="57" t="s">
        <v>156</v>
      </c>
      <c r="B178" s="57" t="s">
        <v>14</v>
      </c>
      <c r="C178" s="57" t="s">
        <v>85</v>
      </c>
      <c r="D178" s="57" t="s">
        <v>157</v>
      </c>
      <c r="E178" s="57" t="s">
        <v>158</v>
      </c>
      <c r="F178" s="58">
        <v>6087</v>
      </c>
      <c r="G178" s="58" t="s">
        <v>155</v>
      </c>
      <c r="H178" s="57" t="s">
        <v>40</v>
      </c>
      <c r="I178" s="66">
        <v>1.67</v>
      </c>
      <c r="J178" s="70">
        <v>35</v>
      </c>
      <c r="K178" s="70">
        <v>239</v>
      </c>
      <c r="L178" s="70">
        <v>321</v>
      </c>
      <c r="M178" s="71">
        <v>0.85</v>
      </c>
    </row>
    <row r="179" spans="1:13" x14ac:dyDescent="0.2">
      <c r="A179" s="55" t="s">
        <v>159</v>
      </c>
      <c r="B179" s="55" t="s">
        <v>14</v>
      </c>
      <c r="C179" s="57" t="s">
        <v>85</v>
      </c>
      <c r="D179" s="55" t="s">
        <v>160</v>
      </c>
      <c r="E179" s="55" t="s">
        <v>161</v>
      </c>
      <c r="F179" s="56">
        <v>6406</v>
      </c>
      <c r="G179" s="56" t="s">
        <v>141</v>
      </c>
      <c r="H179" s="55" t="s">
        <v>40</v>
      </c>
      <c r="I179" s="65">
        <v>5</v>
      </c>
      <c r="J179" s="68">
        <v>12</v>
      </c>
      <c r="K179" s="68">
        <v>79</v>
      </c>
      <c r="L179" s="68">
        <v>107</v>
      </c>
      <c r="M179" s="69">
        <v>0.85</v>
      </c>
    </row>
    <row r="180" spans="1:13" x14ac:dyDescent="0.2">
      <c r="A180" s="57" t="s">
        <v>159</v>
      </c>
      <c r="B180" s="57" t="s">
        <v>14</v>
      </c>
      <c r="C180" s="57" t="s">
        <v>85</v>
      </c>
      <c r="D180" s="57" t="s">
        <v>160</v>
      </c>
      <c r="E180" s="57" t="s">
        <v>161</v>
      </c>
      <c r="F180" s="58">
        <v>6410</v>
      </c>
      <c r="G180" s="58" t="s">
        <v>142</v>
      </c>
      <c r="H180" s="57" t="s">
        <v>40</v>
      </c>
      <c r="I180" s="66">
        <v>5</v>
      </c>
      <c r="J180" s="70">
        <v>12</v>
      </c>
      <c r="K180" s="70">
        <v>79</v>
      </c>
      <c r="L180" s="70">
        <v>107</v>
      </c>
      <c r="M180" s="71">
        <v>0.85</v>
      </c>
    </row>
    <row r="181" spans="1:13" x14ac:dyDescent="0.2">
      <c r="A181" s="55" t="s">
        <v>159</v>
      </c>
      <c r="B181" s="55" t="s">
        <v>14</v>
      </c>
      <c r="C181" s="57" t="s">
        <v>85</v>
      </c>
      <c r="D181" s="55" t="s">
        <v>160</v>
      </c>
      <c r="E181" s="55" t="s">
        <v>161</v>
      </c>
      <c r="F181" s="56">
        <v>6411</v>
      </c>
      <c r="G181" s="56" t="s">
        <v>143</v>
      </c>
      <c r="H181" s="55" t="s">
        <v>40</v>
      </c>
      <c r="I181" s="65">
        <v>5</v>
      </c>
      <c r="J181" s="68">
        <v>12</v>
      </c>
      <c r="K181" s="68">
        <v>79</v>
      </c>
      <c r="L181" s="68">
        <v>107</v>
      </c>
      <c r="M181" s="69">
        <v>0.85</v>
      </c>
    </row>
    <row r="182" spans="1:13" x14ac:dyDescent="0.2">
      <c r="A182" s="57" t="s">
        <v>159</v>
      </c>
      <c r="B182" s="57" t="s">
        <v>14</v>
      </c>
      <c r="C182" s="57" t="s">
        <v>85</v>
      </c>
      <c r="D182" s="57" t="s">
        <v>160</v>
      </c>
      <c r="E182" s="57" t="s">
        <v>161</v>
      </c>
      <c r="F182" s="58">
        <v>6407</v>
      </c>
      <c r="G182" s="58" t="s">
        <v>144</v>
      </c>
      <c r="H182" s="57" t="s">
        <v>40</v>
      </c>
      <c r="I182" s="66">
        <v>5</v>
      </c>
      <c r="J182" s="70">
        <v>12</v>
      </c>
      <c r="K182" s="70">
        <v>79</v>
      </c>
      <c r="L182" s="70">
        <v>107</v>
      </c>
      <c r="M182" s="71">
        <v>0.85</v>
      </c>
    </row>
    <row r="183" spans="1:13" x14ac:dyDescent="0.2">
      <c r="A183" s="55" t="s">
        <v>159</v>
      </c>
      <c r="B183" s="55" t="s">
        <v>14</v>
      </c>
      <c r="C183" s="57" t="s">
        <v>85</v>
      </c>
      <c r="D183" s="55" t="s">
        <v>160</v>
      </c>
      <c r="E183" s="55" t="s">
        <v>161</v>
      </c>
      <c r="F183" s="56">
        <v>6404</v>
      </c>
      <c r="G183" s="56" t="s">
        <v>145</v>
      </c>
      <c r="H183" s="55" t="s">
        <v>40</v>
      </c>
      <c r="I183" s="65">
        <v>5</v>
      </c>
      <c r="J183" s="68">
        <v>12</v>
      </c>
      <c r="K183" s="68">
        <v>79</v>
      </c>
      <c r="L183" s="68">
        <v>107</v>
      </c>
      <c r="M183" s="69">
        <v>0.85</v>
      </c>
    </row>
    <row r="184" spans="1:13" x14ac:dyDescent="0.2">
      <c r="A184" s="57" t="s">
        <v>159</v>
      </c>
      <c r="B184" s="57" t="s">
        <v>14</v>
      </c>
      <c r="C184" s="57" t="s">
        <v>85</v>
      </c>
      <c r="D184" s="57" t="s">
        <v>160</v>
      </c>
      <c r="E184" s="57" t="s">
        <v>161</v>
      </c>
      <c r="F184" s="58">
        <v>6409</v>
      </c>
      <c r="G184" s="58" t="s">
        <v>146</v>
      </c>
      <c r="H184" s="57" t="s">
        <v>40</v>
      </c>
      <c r="I184" s="66">
        <v>5</v>
      </c>
      <c r="J184" s="70">
        <v>12</v>
      </c>
      <c r="K184" s="70">
        <v>79</v>
      </c>
      <c r="L184" s="70">
        <v>107</v>
      </c>
      <c r="M184" s="71">
        <v>0.85</v>
      </c>
    </row>
    <row r="185" spans="1:13" x14ac:dyDescent="0.2">
      <c r="A185" s="55" t="s">
        <v>159</v>
      </c>
      <c r="B185" s="55" t="s">
        <v>14</v>
      </c>
      <c r="C185" s="57" t="s">
        <v>85</v>
      </c>
      <c r="D185" s="55" t="s">
        <v>160</v>
      </c>
      <c r="E185" s="55" t="s">
        <v>161</v>
      </c>
      <c r="F185" s="56">
        <v>5835</v>
      </c>
      <c r="G185" s="56" t="s">
        <v>147</v>
      </c>
      <c r="H185" s="55" t="s">
        <v>40</v>
      </c>
      <c r="I185" s="65">
        <v>5</v>
      </c>
      <c r="J185" s="68">
        <v>12</v>
      </c>
      <c r="K185" s="68">
        <v>79</v>
      </c>
      <c r="L185" s="68">
        <v>107</v>
      </c>
      <c r="M185" s="69">
        <v>0.85</v>
      </c>
    </row>
    <row r="186" spans="1:13" x14ac:dyDescent="0.2">
      <c r="A186" s="57" t="s">
        <v>159</v>
      </c>
      <c r="B186" s="57" t="s">
        <v>14</v>
      </c>
      <c r="C186" s="57" t="s">
        <v>85</v>
      </c>
      <c r="D186" s="57" t="s">
        <v>160</v>
      </c>
      <c r="E186" s="57" t="s">
        <v>161</v>
      </c>
      <c r="F186" s="58">
        <v>5836</v>
      </c>
      <c r="G186" s="58" t="s">
        <v>148</v>
      </c>
      <c r="H186" s="57" t="s">
        <v>40</v>
      </c>
      <c r="I186" s="66">
        <v>5</v>
      </c>
      <c r="J186" s="70">
        <v>12</v>
      </c>
      <c r="K186" s="70">
        <v>79</v>
      </c>
      <c r="L186" s="70">
        <v>107</v>
      </c>
      <c r="M186" s="71">
        <v>0.85</v>
      </c>
    </row>
    <row r="187" spans="1:13" x14ac:dyDescent="0.2">
      <c r="A187" s="55" t="s">
        <v>159</v>
      </c>
      <c r="B187" s="55" t="s">
        <v>14</v>
      </c>
      <c r="C187" s="57" t="s">
        <v>85</v>
      </c>
      <c r="D187" s="55" t="s">
        <v>160</v>
      </c>
      <c r="E187" s="55" t="s">
        <v>161</v>
      </c>
      <c r="F187" s="56">
        <v>5837</v>
      </c>
      <c r="G187" s="56" t="s">
        <v>149</v>
      </c>
      <c r="H187" s="55" t="s">
        <v>40</v>
      </c>
      <c r="I187" s="65">
        <v>5</v>
      </c>
      <c r="J187" s="68">
        <v>12</v>
      </c>
      <c r="K187" s="68">
        <v>79</v>
      </c>
      <c r="L187" s="68">
        <v>107</v>
      </c>
      <c r="M187" s="69">
        <v>0.85</v>
      </c>
    </row>
    <row r="188" spans="1:13" x14ac:dyDescent="0.2">
      <c r="A188" s="57" t="s">
        <v>159</v>
      </c>
      <c r="B188" s="57" t="s">
        <v>14</v>
      </c>
      <c r="C188" s="57" t="s">
        <v>85</v>
      </c>
      <c r="D188" s="57" t="s">
        <v>160</v>
      </c>
      <c r="E188" s="57" t="s">
        <v>161</v>
      </c>
      <c r="F188" s="58">
        <v>5838</v>
      </c>
      <c r="G188" s="58" t="s">
        <v>150</v>
      </c>
      <c r="H188" s="57" t="s">
        <v>40</v>
      </c>
      <c r="I188" s="66">
        <v>5</v>
      </c>
      <c r="J188" s="70">
        <v>12</v>
      </c>
      <c r="K188" s="70">
        <v>79</v>
      </c>
      <c r="L188" s="70">
        <v>107</v>
      </c>
      <c r="M188" s="71">
        <v>0.85</v>
      </c>
    </row>
    <row r="189" spans="1:13" x14ac:dyDescent="0.2">
      <c r="A189" s="55" t="s">
        <v>159</v>
      </c>
      <c r="B189" s="55" t="s">
        <v>14</v>
      </c>
      <c r="C189" s="57" t="s">
        <v>85</v>
      </c>
      <c r="D189" s="55" t="s">
        <v>160</v>
      </c>
      <c r="E189" s="55" t="s">
        <v>161</v>
      </c>
      <c r="F189" s="56">
        <v>5839</v>
      </c>
      <c r="G189" s="56" t="s">
        <v>151</v>
      </c>
      <c r="H189" s="55" t="s">
        <v>40</v>
      </c>
      <c r="I189" s="65">
        <v>5</v>
      </c>
      <c r="J189" s="68">
        <v>12</v>
      </c>
      <c r="K189" s="68">
        <v>79</v>
      </c>
      <c r="L189" s="68">
        <v>107</v>
      </c>
      <c r="M189" s="69">
        <v>0.85</v>
      </c>
    </row>
    <row r="190" spans="1:13" x14ac:dyDescent="0.2">
      <c r="A190" s="57" t="s">
        <v>159</v>
      </c>
      <c r="B190" s="57" t="s">
        <v>14</v>
      </c>
      <c r="C190" s="57" t="s">
        <v>85</v>
      </c>
      <c r="D190" s="57" t="s">
        <v>160</v>
      </c>
      <c r="E190" s="57" t="s">
        <v>161</v>
      </c>
      <c r="F190" s="58">
        <v>5834</v>
      </c>
      <c r="G190" s="58" t="s">
        <v>152</v>
      </c>
      <c r="H190" s="57" t="s">
        <v>40</v>
      </c>
      <c r="I190" s="66">
        <v>5</v>
      </c>
      <c r="J190" s="70">
        <v>12</v>
      </c>
      <c r="K190" s="70">
        <v>79</v>
      </c>
      <c r="L190" s="70">
        <v>107</v>
      </c>
      <c r="M190" s="71">
        <v>0.85</v>
      </c>
    </row>
    <row r="191" spans="1:13" ht="24" x14ac:dyDescent="0.2">
      <c r="A191" s="55" t="s">
        <v>159</v>
      </c>
      <c r="B191" s="55" t="s">
        <v>14</v>
      </c>
      <c r="C191" s="57" t="s">
        <v>85</v>
      </c>
      <c r="D191" s="55" t="s">
        <v>160</v>
      </c>
      <c r="E191" s="55" t="s">
        <v>161</v>
      </c>
      <c r="F191" s="56">
        <v>6413</v>
      </c>
      <c r="G191" s="56" t="s">
        <v>153</v>
      </c>
      <c r="H191" s="55" t="s">
        <v>40</v>
      </c>
      <c r="I191" s="65">
        <v>5</v>
      </c>
      <c r="J191" s="68">
        <v>12</v>
      </c>
      <c r="K191" s="68">
        <v>79</v>
      </c>
      <c r="L191" s="68">
        <v>107</v>
      </c>
      <c r="M191" s="69">
        <v>0.85</v>
      </c>
    </row>
    <row r="192" spans="1:13" ht="24" x14ac:dyDescent="0.2">
      <c r="A192" s="57" t="s">
        <v>159</v>
      </c>
      <c r="B192" s="57" t="s">
        <v>14</v>
      </c>
      <c r="C192" s="57" t="s">
        <v>85</v>
      </c>
      <c r="D192" s="57" t="s">
        <v>160</v>
      </c>
      <c r="E192" s="57" t="s">
        <v>161</v>
      </c>
      <c r="F192" s="58">
        <v>6414</v>
      </c>
      <c r="G192" s="58" t="s">
        <v>154</v>
      </c>
      <c r="H192" s="57" t="s">
        <v>40</v>
      </c>
      <c r="I192" s="66">
        <v>5</v>
      </c>
      <c r="J192" s="70">
        <v>12</v>
      </c>
      <c r="K192" s="70">
        <v>79</v>
      </c>
      <c r="L192" s="70">
        <v>107</v>
      </c>
      <c r="M192" s="71">
        <v>0.85</v>
      </c>
    </row>
    <row r="193" spans="1:13" x14ac:dyDescent="0.2">
      <c r="A193" s="55" t="s">
        <v>159</v>
      </c>
      <c r="B193" s="55" t="s">
        <v>14</v>
      </c>
      <c r="C193" s="57" t="s">
        <v>85</v>
      </c>
      <c r="D193" s="55" t="s">
        <v>160</v>
      </c>
      <c r="E193" s="55" t="s">
        <v>161</v>
      </c>
      <c r="F193" s="56">
        <v>6087</v>
      </c>
      <c r="G193" s="56" t="s">
        <v>155</v>
      </c>
      <c r="H193" s="55" t="s">
        <v>40</v>
      </c>
      <c r="I193" s="65">
        <v>5</v>
      </c>
      <c r="J193" s="68">
        <v>12</v>
      </c>
      <c r="K193" s="68">
        <v>79</v>
      </c>
      <c r="L193" s="68">
        <v>107</v>
      </c>
      <c r="M193" s="69">
        <v>0.85</v>
      </c>
    </row>
    <row r="194" spans="1:13" x14ac:dyDescent="0.2">
      <c r="A194" s="57" t="s">
        <v>162</v>
      </c>
      <c r="B194" s="57" t="s">
        <v>14</v>
      </c>
      <c r="C194" s="57" t="s">
        <v>85</v>
      </c>
      <c r="D194" s="57" t="s">
        <v>163</v>
      </c>
      <c r="E194" s="57" t="s">
        <v>164</v>
      </c>
      <c r="F194" s="58">
        <v>5807</v>
      </c>
      <c r="G194" s="58" t="s">
        <v>165</v>
      </c>
      <c r="H194" s="57" t="s">
        <v>40</v>
      </c>
      <c r="I194" s="66">
        <v>6.25</v>
      </c>
      <c r="J194" s="70">
        <v>9</v>
      </c>
      <c r="K194" s="70">
        <v>63</v>
      </c>
      <c r="L194" s="70">
        <v>85</v>
      </c>
      <c r="M194" s="71">
        <v>0.85</v>
      </c>
    </row>
    <row r="195" spans="1:13" x14ac:dyDescent="0.2">
      <c r="A195" s="55" t="s">
        <v>166</v>
      </c>
      <c r="B195" s="55" t="s">
        <v>14</v>
      </c>
      <c r="C195" s="57" t="s">
        <v>85</v>
      </c>
      <c r="D195" s="55" t="s">
        <v>167</v>
      </c>
      <c r="E195" s="55" t="s">
        <v>168</v>
      </c>
      <c r="F195" s="56">
        <v>6706</v>
      </c>
      <c r="G195" s="56" t="s">
        <v>169</v>
      </c>
      <c r="H195" s="55" t="s">
        <v>40</v>
      </c>
      <c r="I195" s="65">
        <v>25</v>
      </c>
      <c r="J195" s="68">
        <v>2</v>
      </c>
      <c r="K195" s="68">
        <v>15</v>
      </c>
      <c r="L195" s="68">
        <v>21</v>
      </c>
      <c r="M195" s="69">
        <v>0.85</v>
      </c>
    </row>
    <row r="196" spans="1:13" x14ac:dyDescent="0.2">
      <c r="A196" s="57" t="s">
        <v>170</v>
      </c>
      <c r="B196" s="57" t="s">
        <v>14</v>
      </c>
      <c r="C196" s="57" t="s">
        <v>85</v>
      </c>
      <c r="D196" s="57"/>
      <c r="E196" s="57" t="s">
        <v>170</v>
      </c>
      <c r="F196" s="58">
        <v>6406</v>
      </c>
      <c r="G196" s="58" t="s">
        <v>141</v>
      </c>
      <c r="H196" s="57" t="s">
        <v>40</v>
      </c>
      <c r="I196" s="66">
        <v>1.1499999999999999</v>
      </c>
      <c r="J196" s="70">
        <v>52</v>
      </c>
      <c r="K196" s="70">
        <v>347</v>
      </c>
      <c r="L196" s="70">
        <v>465</v>
      </c>
      <c r="M196" s="71">
        <v>0.85</v>
      </c>
    </row>
    <row r="197" spans="1:13" x14ac:dyDescent="0.2">
      <c r="A197" s="55" t="s">
        <v>170</v>
      </c>
      <c r="B197" s="55" t="s">
        <v>14</v>
      </c>
      <c r="C197" s="57" t="s">
        <v>85</v>
      </c>
      <c r="D197" s="55"/>
      <c r="E197" s="55" t="s">
        <v>170</v>
      </c>
      <c r="F197" s="56">
        <v>6410</v>
      </c>
      <c r="G197" s="56" t="s">
        <v>142</v>
      </c>
      <c r="H197" s="55" t="s">
        <v>40</v>
      </c>
      <c r="I197" s="65">
        <v>1.1499999999999999</v>
      </c>
      <c r="J197" s="68">
        <v>52</v>
      </c>
      <c r="K197" s="68">
        <v>347</v>
      </c>
      <c r="L197" s="68">
        <v>465</v>
      </c>
      <c r="M197" s="69">
        <v>0.85</v>
      </c>
    </row>
    <row r="198" spans="1:13" x14ac:dyDescent="0.2">
      <c r="A198" s="57" t="s">
        <v>170</v>
      </c>
      <c r="B198" s="57" t="s">
        <v>14</v>
      </c>
      <c r="C198" s="57" t="s">
        <v>85</v>
      </c>
      <c r="D198" s="57"/>
      <c r="E198" s="57" t="s">
        <v>170</v>
      </c>
      <c r="F198" s="58">
        <v>6407</v>
      </c>
      <c r="G198" s="58" t="s">
        <v>144</v>
      </c>
      <c r="H198" s="57" t="s">
        <v>40</v>
      </c>
      <c r="I198" s="66">
        <v>1.1499999999999999</v>
      </c>
      <c r="J198" s="70">
        <v>52</v>
      </c>
      <c r="K198" s="70">
        <v>347</v>
      </c>
      <c r="L198" s="70">
        <v>465</v>
      </c>
      <c r="M198" s="71">
        <v>0.85</v>
      </c>
    </row>
    <row r="199" spans="1:13" x14ac:dyDescent="0.2">
      <c r="A199" s="55" t="s">
        <v>170</v>
      </c>
      <c r="B199" s="55" t="s">
        <v>14</v>
      </c>
      <c r="C199" s="57" t="s">
        <v>85</v>
      </c>
      <c r="D199" s="55"/>
      <c r="E199" s="55" t="s">
        <v>170</v>
      </c>
      <c r="F199" s="56">
        <v>6404</v>
      </c>
      <c r="G199" s="56" t="s">
        <v>145</v>
      </c>
      <c r="H199" s="55" t="s">
        <v>40</v>
      </c>
      <c r="I199" s="65">
        <v>1.1499999999999999</v>
      </c>
      <c r="J199" s="68">
        <v>52</v>
      </c>
      <c r="K199" s="68">
        <v>347</v>
      </c>
      <c r="L199" s="68">
        <v>465</v>
      </c>
      <c r="M199" s="69">
        <v>0.85</v>
      </c>
    </row>
    <row r="200" spans="1:13" ht="24" x14ac:dyDescent="0.2">
      <c r="A200" s="57" t="s">
        <v>170</v>
      </c>
      <c r="B200" s="57" t="s">
        <v>14</v>
      </c>
      <c r="C200" s="57" t="s">
        <v>85</v>
      </c>
      <c r="D200" s="57"/>
      <c r="E200" s="57" t="s">
        <v>170</v>
      </c>
      <c r="F200" s="58">
        <v>6413</v>
      </c>
      <c r="G200" s="58" t="s">
        <v>153</v>
      </c>
      <c r="H200" s="57" t="s">
        <v>40</v>
      </c>
      <c r="I200" s="66">
        <v>1.1499999999999999</v>
      </c>
      <c r="J200" s="70">
        <v>52</v>
      </c>
      <c r="K200" s="70">
        <v>347</v>
      </c>
      <c r="L200" s="70">
        <v>465</v>
      </c>
      <c r="M200" s="71">
        <v>0.85</v>
      </c>
    </row>
    <row r="201" spans="1:13" ht="24" x14ac:dyDescent="0.2">
      <c r="A201" s="55" t="s">
        <v>170</v>
      </c>
      <c r="B201" s="55" t="s">
        <v>14</v>
      </c>
      <c r="C201" s="57" t="s">
        <v>85</v>
      </c>
      <c r="D201" s="55"/>
      <c r="E201" s="55" t="s">
        <v>170</v>
      </c>
      <c r="F201" s="56">
        <v>6414</v>
      </c>
      <c r="G201" s="56" t="s">
        <v>154</v>
      </c>
      <c r="H201" s="55" t="s">
        <v>40</v>
      </c>
      <c r="I201" s="65">
        <v>1.1499999999999999</v>
      </c>
      <c r="J201" s="68">
        <v>52</v>
      </c>
      <c r="K201" s="68">
        <v>347</v>
      </c>
      <c r="L201" s="68">
        <v>465</v>
      </c>
      <c r="M201" s="69">
        <v>0.85</v>
      </c>
    </row>
    <row r="202" spans="1:13" x14ac:dyDescent="0.2">
      <c r="A202" s="57" t="s">
        <v>170</v>
      </c>
      <c r="B202" s="57" t="s">
        <v>14</v>
      </c>
      <c r="C202" s="57" t="s">
        <v>85</v>
      </c>
      <c r="D202" s="57"/>
      <c r="E202" s="57" t="s">
        <v>170</v>
      </c>
      <c r="F202" s="58">
        <v>5834</v>
      </c>
      <c r="G202" s="58" t="s">
        <v>152</v>
      </c>
      <c r="H202" s="57" t="s">
        <v>40</v>
      </c>
      <c r="I202" s="66">
        <v>1.1499999999999999</v>
      </c>
      <c r="J202" s="70">
        <v>52</v>
      </c>
      <c r="K202" s="70">
        <v>347</v>
      </c>
      <c r="L202" s="70">
        <v>465</v>
      </c>
      <c r="M202" s="71">
        <v>0.85</v>
      </c>
    </row>
    <row r="203" spans="1:13" x14ac:dyDescent="0.2">
      <c r="A203" s="55" t="s">
        <v>170</v>
      </c>
      <c r="B203" s="55" t="s">
        <v>14</v>
      </c>
      <c r="C203" s="57" t="s">
        <v>85</v>
      </c>
      <c r="D203" s="55"/>
      <c r="E203" s="55" t="s">
        <v>170</v>
      </c>
      <c r="F203" s="56">
        <v>5835</v>
      </c>
      <c r="G203" s="56" t="s">
        <v>147</v>
      </c>
      <c r="H203" s="55" t="s">
        <v>40</v>
      </c>
      <c r="I203" s="65">
        <v>1.1499999999999999</v>
      </c>
      <c r="J203" s="68">
        <v>52</v>
      </c>
      <c r="K203" s="68">
        <v>347</v>
      </c>
      <c r="L203" s="68">
        <v>465</v>
      </c>
      <c r="M203" s="69">
        <v>0.85</v>
      </c>
    </row>
    <row r="204" spans="1:13" x14ac:dyDescent="0.2">
      <c r="A204" s="57" t="s">
        <v>170</v>
      </c>
      <c r="B204" s="57" t="s">
        <v>14</v>
      </c>
      <c r="C204" s="57" t="s">
        <v>85</v>
      </c>
      <c r="D204" s="57"/>
      <c r="E204" s="57" t="s">
        <v>170</v>
      </c>
      <c r="F204" s="58">
        <v>5837</v>
      </c>
      <c r="G204" s="58" t="s">
        <v>149</v>
      </c>
      <c r="H204" s="57" t="s">
        <v>40</v>
      </c>
      <c r="I204" s="66">
        <v>1.1499999999999999</v>
      </c>
      <c r="J204" s="70">
        <v>52</v>
      </c>
      <c r="K204" s="70">
        <v>347</v>
      </c>
      <c r="L204" s="70">
        <v>465</v>
      </c>
      <c r="M204" s="71">
        <v>0.85</v>
      </c>
    </row>
    <row r="205" spans="1:13" x14ac:dyDescent="0.2">
      <c r="A205" s="55" t="s">
        <v>170</v>
      </c>
      <c r="B205" s="55" t="s">
        <v>14</v>
      </c>
      <c r="C205" s="57" t="s">
        <v>85</v>
      </c>
      <c r="D205" s="55"/>
      <c r="E205" s="55" t="s">
        <v>170</v>
      </c>
      <c r="F205" s="56">
        <v>5839</v>
      </c>
      <c r="G205" s="56" t="s">
        <v>151</v>
      </c>
      <c r="H205" s="55" t="s">
        <v>40</v>
      </c>
      <c r="I205" s="65">
        <v>1.1499999999999999</v>
      </c>
      <c r="J205" s="68">
        <v>52</v>
      </c>
      <c r="K205" s="68">
        <v>347</v>
      </c>
      <c r="L205" s="68">
        <v>465</v>
      </c>
      <c r="M205" s="69">
        <v>0.85</v>
      </c>
    </row>
    <row r="206" spans="1:13" x14ac:dyDescent="0.2">
      <c r="A206" s="57" t="s">
        <v>170</v>
      </c>
      <c r="B206" s="57" t="s">
        <v>14</v>
      </c>
      <c r="C206" s="57" t="s">
        <v>85</v>
      </c>
      <c r="D206" s="57"/>
      <c r="E206" s="57" t="s">
        <v>170</v>
      </c>
      <c r="F206" s="58">
        <v>5838</v>
      </c>
      <c r="G206" s="58" t="s">
        <v>150</v>
      </c>
      <c r="H206" s="57" t="s">
        <v>40</v>
      </c>
      <c r="I206" s="66">
        <v>1.1499999999999999</v>
      </c>
      <c r="J206" s="70">
        <v>52</v>
      </c>
      <c r="K206" s="70">
        <v>347</v>
      </c>
      <c r="L206" s="70">
        <v>465</v>
      </c>
      <c r="M206" s="71">
        <v>0.85</v>
      </c>
    </row>
    <row r="207" spans="1:13" x14ac:dyDescent="0.2">
      <c r="A207" s="55" t="s">
        <v>170</v>
      </c>
      <c r="B207" s="55" t="s">
        <v>14</v>
      </c>
      <c r="C207" s="57" t="s">
        <v>85</v>
      </c>
      <c r="D207" s="55"/>
      <c r="E207" s="55" t="s">
        <v>170</v>
      </c>
      <c r="F207" s="56">
        <v>5958</v>
      </c>
      <c r="G207" s="56" t="s">
        <v>172</v>
      </c>
      <c r="H207" s="55" t="s">
        <v>40</v>
      </c>
      <c r="I207" s="65">
        <v>1.1499999999999999</v>
      </c>
      <c r="J207" s="68">
        <v>52</v>
      </c>
      <c r="K207" s="68">
        <v>347</v>
      </c>
      <c r="L207" s="68">
        <v>465</v>
      </c>
      <c r="M207" s="69">
        <v>0.85</v>
      </c>
    </row>
    <row r="208" spans="1:13" x14ac:dyDescent="0.2">
      <c r="A208" s="57" t="s">
        <v>170</v>
      </c>
      <c r="B208" s="57" t="s">
        <v>14</v>
      </c>
      <c r="C208" s="57" t="s">
        <v>85</v>
      </c>
      <c r="D208" s="57"/>
      <c r="E208" s="57" t="s">
        <v>170</v>
      </c>
      <c r="F208" s="58">
        <v>5836</v>
      </c>
      <c r="G208" s="58" t="s">
        <v>148</v>
      </c>
      <c r="H208" s="57" t="s">
        <v>40</v>
      </c>
      <c r="I208" s="66">
        <v>1.1499999999999999</v>
      </c>
      <c r="J208" s="70">
        <v>52</v>
      </c>
      <c r="K208" s="70">
        <v>347</v>
      </c>
      <c r="L208" s="70">
        <v>465</v>
      </c>
      <c r="M208" s="71">
        <v>0.85</v>
      </c>
    </row>
    <row r="209" spans="1:13" x14ac:dyDescent="0.2">
      <c r="A209" s="55" t="s">
        <v>173</v>
      </c>
      <c r="B209" s="55" t="s">
        <v>14</v>
      </c>
      <c r="C209" s="57" t="s">
        <v>85</v>
      </c>
      <c r="D209" s="55"/>
      <c r="E209" s="55" t="s">
        <v>173</v>
      </c>
      <c r="F209" s="56">
        <v>6406</v>
      </c>
      <c r="G209" s="56" t="s">
        <v>141</v>
      </c>
      <c r="H209" s="55" t="s">
        <v>40</v>
      </c>
      <c r="I209" s="65">
        <v>2.2999999999999998</v>
      </c>
      <c r="J209" s="68">
        <v>26</v>
      </c>
      <c r="K209" s="68">
        <v>173</v>
      </c>
      <c r="L209" s="68">
        <v>232</v>
      </c>
      <c r="M209" s="69">
        <v>0.85</v>
      </c>
    </row>
    <row r="210" spans="1:13" x14ac:dyDescent="0.2">
      <c r="A210" s="57" t="s">
        <v>173</v>
      </c>
      <c r="B210" s="57" t="s">
        <v>14</v>
      </c>
      <c r="C210" s="57" t="s">
        <v>85</v>
      </c>
      <c r="D210" s="57"/>
      <c r="E210" s="57" t="s">
        <v>173</v>
      </c>
      <c r="F210" s="58">
        <v>6410</v>
      </c>
      <c r="G210" s="58" t="s">
        <v>142</v>
      </c>
      <c r="H210" s="57" t="s">
        <v>40</v>
      </c>
      <c r="I210" s="66">
        <v>2.2999999999999998</v>
      </c>
      <c r="J210" s="70">
        <v>26</v>
      </c>
      <c r="K210" s="70">
        <v>173</v>
      </c>
      <c r="L210" s="70">
        <v>232</v>
      </c>
      <c r="M210" s="71">
        <v>0.85</v>
      </c>
    </row>
    <row r="211" spans="1:13" x14ac:dyDescent="0.2">
      <c r="A211" s="55" t="s">
        <v>173</v>
      </c>
      <c r="B211" s="55" t="s">
        <v>14</v>
      </c>
      <c r="C211" s="57" t="s">
        <v>85</v>
      </c>
      <c r="D211" s="55"/>
      <c r="E211" s="55" t="s">
        <v>173</v>
      </c>
      <c r="F211" s="56">
        <v>6407</v>
      </c>
      <c r="G211" s="56" t="s">
        <v>144</v>
      </c>
      <c r="H211" s="55" t="s">
        <v>40</v>
      </c>
      <c r="I211" s="65">
        <v>2.2999999999999998</v>
      </c>
      <c r="J211" s="68">
        <v>26</v>
      </c>
      <c r="K211" s="68">
        <v>173</v>
      </c>
      <c r="L211" s="68">
        <v>232</v>
      </c>
      <c r="M211" s="69">
        <v>0.85</v>
      </c>
    </row>
    <row r="212" spans="1:13" x14ac:dyDescent="0.2">
      <c r="A212" s="57" t="s">
        <v>173</v>
      </c>
      <c r="B212" s="57" t="s">
        <v>14</v>
      </c>
      <c r="C212" s="57" t="s">
        <v>85</v>
      </c>
      <c r="D212" s="57"/>
      <c r="E212" s="57" t="s">
        <v>173</v>
      </c>
      <c r="F212" s="58">
        <v>6404</v>
      </c>
      <c r="G212" s="58" t="s">
        <v>145</v>
      </c>
      <c r="H212" s="57" t="s">
        <v>40</v>
      </c>
      <c r="I212" s="66">
        <v>2.2999999999999998</v>
      </c>
      <c r="J212" s="70">
        <v>26</v>
      </c>
      <c r="K212" s="70">
        <v>173</v>
      </c>
      <c r="L212" s="70">
        <v>232</v>
      </c>
      <c r="M212" s="71">
        <v>0.85</v>
      </c>
    </row>
    <row r="213" spans="1:13" ht="24" x14ac:dyDescent="0.2">
      <c r="A213" s="55" t="s">
        <v>173</v>
      </c>
      <c r="B213" s="55" t="s">
        <v>14</v>
      </c>
      <c r="C213" s="57" t="s">
        <v>85</v>
      </c>
      <c r="D213" s="55"/>
      <c r="E213" s="55" t="s">
        <v>173</v>
      </c>
      <c r="F213" s="56">
        <v>6413</v>
      </c>
      <c r="G213" s="56" t="s">
        <v>153</v>
      </c>
      <c r="H213" s="55" t="s">
        <v>40</v>
      </c>
      <c r="I213" s="65">
        <v>2.2999999999999998</v>
      </c>
      <c r="J213" s="68">
        <v>26</v>
      </c>
      <c r="K213" s="68">
        <v>173</v>
      </c>
      <c r="L213" s="68">
        <v>232</v>
      </c>
      <c r="M213" s="69">
        <v>0.85</v>
      </c>
    </row>
    <row r="214" spans="1:13" ht="24" x14ac:dyDescent="0.2">
      <c r="A214" s="57" t="s">
        <v>173</v>
      </c>
      <c r="B214" s="57" t="s">
        <v>14</v>
      </c>
      <c r="C214" s="57" t="s">
        <v>85</v>
      </c>
      <c r="D214" s="57"/>
      <c r="E214" s="57" t="s">
        <v>173</v>
      </c>
      <c r="F214" s="58">
        <v>6414</v>
      </c>
      <c r="G214" s="58" t="s">
        <v>154</v>
      </c>
      <c r="H214" s="57" t="s">
        <v>40</v>
      </c>
      <c r="I214" s="66">
        <v>2.2999999999999998</v>
      </c>
      <c r="J214" s="70">
        <v>26</v>
      </c>
      <c r="K214" s="70">
        <v>173</v>
      </c>
      <c r="L214" s="70">
        <v>232</v>
      </c>
      <c r="M214" s="71">
        <v>0.85</v>
      </c>
    </row>
    <row r="215" spans="1:13" x14ac:dyDescent="0.2">
      <c r="A215" s="55" t="s">
        <v>173</v>
      </c>
      <c r="B215" s="55" t="s">
        <v>14</v>
      </c>
      <c r="C215" s="57" t="s">
        <v>85</v>
      </c>
      <c r="D215" s="55"/>
      <c r="E215" s="55" t="s">
        <v>173</v>
      </c>
      <c r="F215" s="56">
        <v>5834</v>
      </c>
      <c r="G215" s="56" t="s">
        <v>152</v>
      </c>
      <c r="H215" s="55" t="s">
        <v>40</v>
      </c>
      <c r="I215" s="65">
        <v>2.2999999999999998</v>
      </c>
      <c r="J215" s="68">
        <v>26</v>
      </c>
      <c r="K215" s="68">
        <v>173</v>
      </c>
      <c r="L215" s="68">
        <v>232</v>
      </c>
      <c r="M215" s="69">
        <v>0.85</v>
      </c>
    </row>
    <row r="216" spans="1:13" x14ac:dyDescent="0.2">
      <c r="A216" s="57" t="s">
        <v>173</v>
      </c>
      <c r="B216" s="57" t="s">
        <v>14</v>
      </c>
      <c r="C216" s="57" t="s">
        <v>85</v>
      </c>
      <c r="D216" s="57"/>
      <c r="E216" s="57" t="s">
        <v>173</v>
      </c>
      <c r="F216" s="58">
        <v>5835</v>
      </c>
      <c r="G216" s="58" t="s">
        <v>147</v>
      </c>
      <c r="H216" s="57" t="s">
        <v>40</v>
      </c>
      <c r="I216" s="66">
        <v>2.2999999999999998</v>
      </c>
      <c r="J216" s="70">
        <v>26</v>
      </c>
      <c r="K216" s="70">
        <v>173</v>
      </c>
      <c r="L216" s="70">
        <v>232</v>
      </c>
      <c r="M216" s="71">
        <v>0.85</v>
      </c>
    </row>
    <row r="217" spans="1:13" x14ac:dyDescent="0.2">
      <c r="A217" s="55" t="s">
        <v>173</v>
      </c>
      <c r="B217" s="55" t="s">
        <v>14</v>
      </c>
      <c r="C217" s="57" t="s">
        <v>85</v>
      </c>
      <c r="D217" s="55"/>
      <c r="E217" s="55" t="s">
        <v>173</v>
      </c>
      <c r="F217" s="56">
        <v>5837</v>
      </c>
      <c r="G217" s="56" t="s">
        <v>149</v>
      </c>
      <c r="H217" s="55" t="s">
        <v>40</v>
      </c>
      <c r="I217" s="65">
        <v>2.2999999999999998</v>
      </c>
      <c r="J217" s="68">
        <v>26</v>
      </c>
      <c r="K217" s="68">
        <v>173</v>
      </c>
      <c r="L217" s="68">
        <v>232</v>
      </c>
      <c r="M217" s="69">
        <v>0.85</v>
      </c>
    </row>
    <row r="218" spans="1:13" x14ac:dyDescent="0.2">
      <c r="A218" s="57" t="s">
        <v>173</v>
      </c>
      <c r="B218" s="57" t="s">
        <v>14</v>
      </c>
      <c r="C218" s="57" t="s">
        <v>85</v>
      </c>
      <c r="D218" s="57"/>
      <c r="E218" s="57" t="s">
        <v>173</v>
      </c>
      <c r="F218" s="58">
        <v>5839</v>
      </c>
      <c r="G218" s="58" t="s">
        <v>151</v>
      </c>
      <c r="H218" s="57" t="s">
        <v>40</v>
      </c>
      <c r="I218" s="66">
        <v>2.2999999999999998</v>
      </c>
      <c r="J218" s="70">
        <v>26</v>
      </c>
      <c r="K218" s="70">
        <v>173</v>
      </c>
      <c r="L218" s="70">
        <v>232</v>
      </c>
      <c r="M218" s="71">
        <v>0.85</v>
      </c>
    </row>
    <row r="219" spans="1:13" x14ac:dyDescent="0.2">
      <c r="A219" s="55" t="s">
        <v>173</v>
      </c>
      <c r="B219" s="55" t="s">
        <v>14</v>
      </c>
      <c r="C219" s="57" t="s">
        <v>85</v>
      </c>
      <c r="D219" s="55"/>
      <c r="E219" s="55" t="s">
        <v>173</v>
      </c>
      <c r="F219" s="56">
        <v>5838</v>
      </c>
      <c r="G219" s="56" t="s">
        <v>150</v>
      </c>
      <c r="H219" s="55" t="s">
        <v>40</v>
      </c>
      <c r="I219" s="65">
        <v>2.2999999999999998</v>
      </c>
      <c r="J219" s="68">
        <v>26</v>
      </c>
      <c r="K219" s="68">
        <v>173</v>
      </c>
      <c r="L219" s="68">
        <v>232</v>
      </c>
      <c r="M219" s="69">
        <v>0.85</v>
      </c>
    </row>
    <row r="220" spans="1:13" x14ac:dyDescent="0.2">
      <c r="A220" s="57" t="s">
        <v>173</v>
      </c>
      <c r="B220" s="57" t="s">
        <v>14</v>
      </c>
      <c r="C220" s="57" t="s">
        <v>85</v>
      </c>
      <c r="D220" s="57"/>
      <c r="E220" s="57" t="s">
        <v>173</v>
      </c>
      <c r="F220" s="58">
        <v>5958</v>
      </c>
      <c r="G220" s="58" t="s">
        <v>172</v>
      </c>
      <c r="H220" s="57" t="s">
        <v>40</v>
      </c>
      <c r="I220" s="66">
        <v>2.2999999999999998</v>
      </c>
      <c r="J220" s="70">
        <v>26</v>
      </c>
      <c r="K220" s="70">
        <v>173</v>
      </c>
      <c r="L220" s="70">
        <v>232</v>
      </c>
      <c r="M220" s="71">
        <v>0.85</v>
      </c>
    </row>
    <row r="221" spans="1:13" x14ac:dyDescent="0.2">
      <c r="A221" s="55" t="s">
        <v>173</v>
      </c>
      <c r="B221" s="55" t="s">
        <v>14</v>
      </c>
      <c r="C221" s="57" t="s">
        <v>85</v>
      </c>
      <c r="D221" s="55"/>
      <c r="E221" s="55" t="s">
        <v>173</v>
      </c>
      <c r="F221" s="56">
        <v>5836</v>
      </c>
      <c r="G221" s="56" t="s">
        <v>148</v>
      </c>
      <c r="H221" s="55" t="s">
        <v>40</v>
      </c>
      <c r="I221" s="65">
        <v>2.2999999999999998</v>
      </c>
      <c r="J221" s="68">
        <v>26</v>
      </c>
      <c r="K221" s="68">
        <v>173</v>
      </c>
      <c r="L221" s="68">
        <v>232</v>
      </c>
      <c r="M221" s="69">
        <v>0.85</v>
      </c>
    </row>
    <row r="222" spans="1:13" x14ac:dyDescent="0.2">
      <c r="A222" s="57" t="s">
        <v>174</v>
      </c>
      <c r="B222" s="57" t="s">
        <v>14</v>
      </c>
      <c r="C222" s="57" t="s">
        <v>85</v>
      </c>
      <c r="D222" s="57" t="s">
        <v>175</v>
      </c>
      <c r="E222" s="57" t="s">
        <v>174</v>
      </c>
      <c r="F222" s="58">
        <v>6706</v>
      </c>
      <c r="G222" s="58" t="s">
        <v>169</v>
      </c>
      <c r="H222" s="57" t="s">
        <v>40</v>
      </c>
      <c r="I222" s="66">
        <v>25</v>
      </c>
      <c r="J222" s="70">
        <v>2</v>
      </c>
      <c r="K222" s="70">
        <v>15</v>
      </c>
      <c r="L222" s="70">
        <v>21</v>
      </c>
      <c r="M222" s="71">
        <v>0.85</v>
      </c>
    </row>
    <row r="223" spans="1:13" x14ac:dyDescent="0.2">
      <c r="A223" s="55" t="s">
        <v>174</v>
      </c>
      <c r="B223" s="55" t="s">
        <v>14</v>
      </c>
      <c r="C223" s="57" t="s">
        <v>85</v>
      </c>
      <c r="D223" s="55" t="s">
        <v>175</v>
      </c>
      <c r="E223" s="55" t="s">
        <v>174</v>
      </c>
      <c r="F223" s="56">
        <v>5834</v>
      </c>
      <c r="G223" s="56" t="s">
        <v>152</v>
      </c>
      <c r="H223" s="55" t="s">
        <v>40</v>
      </c>
      <c r="I223" s="65">
        <v>7.5</v>
      </c>
      <c r="J223" s="68">
        <v>8</v>
      </c>
      <c r="K223" s="68">
        <v>53</v>
      </c>
      <c r="L223" s="68">
        <v>71</v>
      </c>
      <c r="M223" s="69">
        <v>0.85</v>
      </c>
    </row>
    <row r="224" spans="1:13" x14ac:dyDescent="0.2">
      <c r="A224" s="57" t="s">
        <v>176</v>
      </c>
      <c r="B224" s="57" t="s">
        <v>14</v>
      </c>
      <c r="C224" s="57" t="s">
        <v>85</v>
      </c>
      <c r="D224" s="57" t="s">
        <v>171</v>
      </c>
      <c r="E224" s="57" t="s">
        <v>176</v>
      </c>
      <c r="F224" s="58">
        <v>5807</v>
      </c>
      <c r="G224" s="58" t="s">
        <v>165</v>
      </c>
      <c r="H224" s="57" t="s">
        <v>40</v>
      </c>
      <c r="I224" s="66">
        <v>7.5</v>
      </c>
      <c r="J224" s="70">
        <v>8</v>
      </c>
      <c r="K224" s="70">
        <v>53</v>
      </c>
      <c r="L224" s="70">
        <v>71</v>
      </c>
      <c r="M224" s="71">
        <v>0.85</v>
      </c>
    </row>
    <row r="225" spans="1:13" x14ac:dyDescent="0.2">
      <c r="A225" s="57" t="s">
        <v>177</v>
      </c>
      <c r="B225" s="57" t="s">
        <v>14</v>
      </c>
      <c r="C225" s="57" t="s">
        <v>171</v>
      </c>
      <c r="D225" s="57"/>
      <c r="E225" s="57" t="s">
        <v>177</v>
      </c>
      <c r="F225" s="58">
        <v>6337</v>
      </c>
      <c r="G225" s="58" t="s">
        <v>178</v>
      </c>
      <c r="H225" s="57" t="s">
        <v>57</v>
      </c>
      <c r="I225" s="66">
        <v>9.5299999999999994</v>
      </c>
      <c r="J225" s="70">
        <v>6</v>
      </c>
      <c r="K225" s="70">
        <v>41</v>
      </c>
      <c r="L225" s="70">
        <v>55</v>
      </c>
      <c r="M225" s="71">
        <v>0.85</v>
      </c>
    </row>
    <row r="226" spans="1:13" x14ac:dyDescent="0.2">
      <c r="A226" s="55" t="s">
        <v>177</v>
      </c>
      <c r="B226" s="55" t="s">
        <v>14</v>
      </c>
      <c r="C226" s="57" t="s">
        <v>171</v>
      </c>
      <c r="D226" s="55"/>
      <c r="E226" s="55" t="s">
        <v>177</v>
      </c>
      <c r="F226" s="56">
        <v>6338</v>
      </c>
      <c r="G226" s="56" t="s">
        <v>179</v>
      </c>
      <c r="H226" s="55" t="s">
        <v>57</v>
      </c>
      <c r="I226" s="65">
        <v>9.5299999999999994</v>
      </c>
      <c r="J226" s="68">
        <v>6</v>
      </c>
      <c r="K226" s="68">
        <v>41</v>
      </c>
      <c r="L226" s="68">
        <v>55</v>
      </c>
      <c r="M226" s="69">
        <v>0.85</v>
      </c>
    </row>
    <row r="227" spans="1:13" x14ac:dyDescent="0.2">
      <c r="A227" s="57" t="s">
        <v>177</v>
      </c>
      <c r="B227" s="57" t="s">
        <v>14</v>
      </c>
      <c r="C227" s="57" t="s">
        <v>171</v>
      </c>
      <c r="D227" s="57"/>
      <c r="E227" s="57" t="s">
        <v>177</v>
      </c>
      <c r="F227" s="58">
        <v>6417</v>
      </c>
      <c r="G227" s="58" t="s">
        <v>180</v>
      </c>
      <c r="H227" s="57" t="s">
        <v>57</v>
      </c>
      <c r="I227" s="66">
        <v>9.5299999999999994</v>
      </c>
      <c r="J227" s="70">
        <v>6</v>
      </c>
      <c r="K227" s="70">
        <v>41</v>
      </c>
      <c r="L227" s="70">
        <v>55</v>
      </c>
      <c r="M227" s="71">
        <v>0.85</v>
      </c>
    </row>
    <row r="228" spans="1:13" x14ac:dyDescent="0.2">
      <c r="A228" s="55" t="s">
        <v>177</v>
      </c>
      <c r="B228" s="55" t="s">
        <v>14</v>
      </c>
      <c r="C228" s="57" t="s">
        <v>171</v>
      </c>
      <c r="D228" s="55"/>
      <c r="E228" s="55" t="s">
        <v>177</v>
      </c>
      <c r="F228" s="56">
        <v>6428</v>
      </c>
      <c r="G228" s="56" t="s">
        <v>181</v>
      </c>
      <c r="H228" s="55" t="s">
        <v>57</v>
      </c>
      <c r="I228" s="65">
        <v>9.5299999999999994</v>
      </c>
      <c r="J228" s="68">
        <v>6</v>
      </c>
      <c r="K228" s="68">
        <v>41</v>
      </c>
      <c r="L228" s="68">
        <v>55</v>
      </c>
      <c r="M228" s="69">
        <v>0.85</v>
      </c>
    </row>
    <row r="229" spans="1:13" x14ac:dyDescent="0.2">
      <c r="A229" s="57" t="s">
        <v>177</v>
      </c>
      <c r="B229" s="57" t="s">
        <v>14</v>
      </c>
      <c r="C229" s="57" t="s">
        <v>171</v>
      </c>
      <c r="D229" s="57"/>
      <c r="E229" s="57" t="s">
        <v>177</v>
      </c>
      <c r="F229" s="58">
        <v>6328</v>
      </c>
      <c r="G229" s="58" t="s">
        <v>182</v>
      </c>
      <c r="H229" s="57" t="s">
        <v>57</v>
      </c>
      <c r="I229" s="66">
        <v>9.5299999999999994</v>
      </c>
      <c r="J229" s="70">
        <v>6</v>
      </c>
      <c r="K229" s="70">
        <v>41</v>
      </c>
      <c r="L229" s="70">
        <v>55</v>
      </c>
      <c r="M229" s="71">
        <v>0.85</v>
      </c>
    </row>
    <row r="230" spans="1:13" x14ac:dyDescent="0.2">
      <c r="A230" s="55" t="s">
        <v>177</v>
      </c>
      <c r="B230" s="55" t="s">
        <v>14</v>
      </c>
      <c r="C230" s="57" t="s">
        <v>171</v>
      </c>
      <c r="D230" s="55"/>
      <c r="E230" s="55" t="s">
        <v>177</v>
      </c>
      <c r="F230" s="56">
        <v>6312</v>
      </c>
      <c r="G230" s="56" t="s">
        <v>183</v>
      </c>
      <c r="H230" s="55" t="s">
        <v>36</v>
      </c>
      <c r="I230" s="65">
        <v>6.5</v>
      </c>
      <c r="J230" s="68">
        <v>9</v>
      </c>
      <c r="K230" s="68">
        <v>60</v>
      </c>
      <c r="L230" s="68">
        <v>81</v>
      </c>
      <c r="M230" s="69">
        <v>0.85</v>
      </c>
    </row>
    <row r="231" spans="1:13" x14ac:dyDescent="0.2">
      <c r="A231" s="57" t="s">
        <v>177</v>
      </c>
      <c r="B231" s="57" t="s">
        <v>14</v>
      </c>
      <c r="C231" s="57" t="s">
        <v>171</v>
      </c>
      <c r="D231" s="57"/>
      <c r="E231" s="57" t="s">
        <v>177</v>
      </c>
      <c r="F231" s="58">
        <v>6703</v>
      </c>
      <c r="G231" s="58" t="s">
        <v>184</v>
      </c>
      <c r="H231" s="57" t="s">
        <v>138</v>
      </c>
      <c r="I231" s="66">
        <v>10</v>
      </c>
      <c r="J231" s="70">
        <v>6</v>
      </c>
      <c r="K231" s="70">
        <v>39</v>
      </c>
      <c r="L231" s="70">
        <v>52</v>
      </c>
      <c r="M231" s="71">
        <v>0.85</v>
      </c>
    </row>
    <row r="232" spans="1:13" x14ac:dyDescent="0.2">
      <c r="A232" s="55" t="s">
        <v>177</v>
      </c>
      <c r="B232" s="55" t="s">
        <v>14</v>
      </c>
      <c r="C232" s="57" t="s">
        <v>171</v>
      </c>
      <c r="D232" s="55"/>
      <c r="E232" s="55" t="s">
        <v>177</v>
      </c>
      <c r="F232" s="56">
        <v>5534</v>
      </c>
      <c r="G232" s="56" t="s">
        <v>185</v>
      </c>
      <c r="H232" s="55" t="s">
        <v>186</v>
      </c>
      <c r="I232" s="65">
        <v>12</v>
      </c>
      <c r="J232" s="68">
        <v>5</v>
      </c>
      <c r="K232" s="68">
        <v>32</v>
      </c>
      <c r="L232" s="68">
        <v>43</v>
      </c>
      <c r="M232" s="69">
        <v>0.85</v>
      </c>
    </row>
    <row r="233" spans="1:13" x14ac:dyDescent="0.2">
      <c r="A233" s="57" t="s">
        <v>177</v>
      </c>
      <c r="B233" s="57" t="s">
        <v>14</v>
      </c>
      <c r="C233" s="57" t="s">
        <v>171</v>
      </c>
      <c r="D233" s="57"/>
      <c r="E233" s="57" t="s">
        <v>177</v>
      </c>
      <c r="F233" s="58">
        <v>5829</v>
      </c>
      <c r="G233" s="58" t="s">
        <v>187</v>
      </c>
      <c r="H233" s="57" t="s">
        <v>186</v>
      </c>
      <c r="I233" s="66">
        <v>15</v>
      </c>
      <c r="J233" s="70">
        <v>4</v>
      </c>
      <c r="K233" s="70">
        <v>26</v>
      </c>
      <c r="L233" s="70">
        <v>35</v>
      </c>
      <c r="M233" s="71">
        <v>0.85</v>
      </c>
    </row>
    <row r="234" spans="1:13" x14ac:dyDescent="0.2">
      <c r="A234" s="55" t="s">
        <v>177</v>
      </c>
      <c r="B234" s="55" t="s">
        <v>14</v>
      </c>
      <c r="C234" s="57" t="s">
        <v>171</v>
      </c>
      <c r="D234" s="55"/>
      <c r="E234" s="55" t="s">
        <v>177</v>
      </c>
      <c r="F234" s="56">
        <v>5830</v>
      </c>
      <c r="G234" s="56" t="s">
        <v>188</v>
      </c>
      <c r="H234" s="55" t="s">
        <v>186</v>
      </c>
      <c r="I234" s="65">
        <v>15</v>
      </c>
      <c r="J234" s="68">
        <v>4</v>
      </c>
      <c r="K234" s="68">
        <v>26</v>
      </c>
      <c r="L234" s="68">
        <v>35</v>
      </c>
      <c r="M234" s="69">
        <v>0.85</v>
      </c>
    </row>
    <row r="235" spans="1:13" x14ac:dyDescent="0.2">
      <c r="A235" s="57" t="s">
        <v>177</v>
      </c>
      <c r="B235" s="57" t="s">
        <v>14</v>
      </c>
      <c r="C235" s="57" t="s">
        <v>171</v>
      </c>
      <c r="D235" s="57"/>
      <c r="E235" s="57" t="s">
        <v>177</v>
      </c>
      <c r="F235" s="58">
        <v>5831</v>
      </c>
      <c r="G235" s="58" t="s">
        <v>189</v>
      </c>
      <c r="H235" s="57" t="s">
        <v>186</v>
      </c>
      <c r="I235" s="66">
        <v>15</v>
      </c>
      <c r="J235" s="70">
        <v>4</v>
      </c>
      <c r="K235" s="70">
        <v>26</v>
      </c>
      <c r="L235" s="70">
        <v>35</v>
      </c>
      <c r="M235" s="71">
        <v>0.85</v>
      </c>
    </row>
    <row r="236" spans="1:13" x14ac:dyDescent="0.2">
      <c r="A236" s="55" t="s">
        <v>177</v>
      </c>
      <c r="B236" s="55" t="s">
        <v>14</v>
      </c>
      <c r="C236" s="57" t="s">
        <v>171</v>
      </c>
      <c r="D236" s="55"/>
      <c r="E236" s="55" t="s">
        <v>177</v>
      </c>
      <c r="F236" s="56">
        <v>5832</v>
      </c>
      <c r="G236" s="56" t="s">
        <v>190</v>
      </c>
      <c r="H236" s="55" t="s">
        <v>186</v>
      </c>
      <c r="I236" s="65">
        <v>15</v>
      </c>
      <c r="J236" s="68">
        <v>4</v>
      </c>
      <c r="K236" s="68">
        <v>26</v>
      </c>
      <c r="L236" s="68">
        <v>35</v>
      </c>
      <c r="M236" s="69">
        <v>0.85</v>
      </c>
    </row>
    <row r="237" spans="1:13" x14ac:dyDescent="0.2">
      <c r="A237" s="57" t="s">
        <v>177</v>
      </c>
      <c r="B237" s="57" t="s">
        <v>14</v>
      </c>
      <c r="C237" s="57" t="s">
        <v>171</v>
      </c>
      <c r="D237" s="57"/>
      <c r="E237" s="57" t="s">
        <v>177</v>
      </c>
      <c r="F237" s="58">
        <v>6512</v>
      </c>
      <c r="G237" s="58" t="s">
        <v>191</v>
      </c>
      <c r="H237" s="57" t="s">
        <v>186</v>
      </c>
      <c r="I237" s="66">
        <v>15</v>
      </c>
      <c r="J237" s="70">
        <v>4</v>
      </c>
      <c r="K237" s="70">
        <v>26</v>
      </c>
      <c r="L237" s="70">
        <v>35</v>
      </c>
      <c r="M237" s="71">
        <v>0.85</v>
      </c>
    </row>
    <row r="238" spans="1:13" x14ac:dyDescent="0.2">
      <c r="A238" s="55" t="s">
        <v>177</v>
      </c>
      <c r="B238" s="55" t="s">
        <v>14</v>
      </c>
      <c r="C238" s="57" t="s">
        <v>171</v>
      </c>
      <c r="D238" s="55"/>
      <c r="E238" s="55" t="s">
        <v>177</v>
      </c>
      <c r="F238" s="56">
        <v>6513</v>
      </c>
      <c r="G238" s="56" t="s">
        <v>192</v>
      </c>
      <c r="H238" s="55" t="s">
        <v>186</v>
      </c>
      <c r="I238" s="65">
        <v>15</v>
      </c>
      <c r="J238" s="68">
        <v>4</v>
      </c>
      <c r="K238" s="68">
        <v>26</v>
      </c>
      <c r="L238" s="68">
        <v>35</v>
      </c>
      <c r="M238" s="69">
        <v>0.85</v>
      </c>
    </row>
    <row r="239" spans="1:13" x14ac:dyDescent="0.2">
      <c r="A239" s="57" t="s">
        <v>177</v>
      </c>
      <c r="B239" s="57" t="s">
        <v>14</v>
      </c>
      <c r="C239" s="57" t="s">
        <v>171</v>
      </c>
      <c r="D239" s="57"/>
      <c r="E239" s="57" t="s">
        <v>177</v>
      </c>
      <c r="F239" s="58">
        <v>6314</v>
      </c>
      <c r="G239" s="58" t="s">
        <v>193</v>
      </c>
      <c r="H239" s="57" t="s">
        <v>36</v>
      </c>
      <c r="I239" s="66">
        <v>6.5</v>
      </c>
      <c r="J239" s="70">
        <v>9</v>
      </c>
      <c r="K239" s="70">
        <v>60</v>
      </c>
      <c r="L239" s="70">
        <v>81</v>
      </c>
      <c r="M239" s="71">
        <v>0.85</v>
      </c>
    </row>
    <row r="240" spans="1:13" x14ac:dyDescent="0.2">
      <c r="A240" s="55" t="s">
        <v>194</v>
      </c>
      <c r="B240" s="55" t="s">
        <v>14</v>
      </c>
      <c r="C240" s="57" t="s">
        <v>171</v>
      </c>
      <c r="D240" s="55"/>
      <c r="E240" s="55" t="s">
        <v>194</v>
      </c>
      <c r="F240" s="56">
        <v>6314</v>
      </c>
      <c r="G240" s="56" t="s">
        <v>193</v>
      </c>
      <c r="H240" s="55" t="s">
        <v>36</v>
      </c>
      <c r="I240" s="65">
        <v>6.5</v>
      </c>
      <c r="J240" s="68">
        <v>9</v>
      </c>
      <c r="K240" s="68">
        <v>60</v>
      </c>
      <c r="L240" s="68">
        <v>81</v>
      </c>
      <c r="M240" s="69">
        <v>0.85</v>
      </c>
    </row>
    <row r="241" spans="1:13" x14ac:dyDescent="0.2">
      <c r="A241" s="57" t="s">
        <v>195</v>
      </c>
      <c r="B241" s="57" t="s">
        <v>14</v>
      </c>
      <c r="C241" s="57" t="s">
        <v>171</v>
      </c>
      <c r="D241" s="57"/>
      <c r="E241" s="57" t="s">
        <v>195</v>
      </c>
      <c r="F241" s="58">
        <v>6314</v>
      </c>
      <c r="G241" s="58" t="s">
        <v>193</v>
      </c>
      <c r="H241" s="57" t="s">
        <v>36</v>
      </c>
      <c r="I241" s="66">
        <v>3.5</v>
      </c>
      <c r="J241" s="70">
        <v>17</v>
      </c>
      <c r="K241" s="70">
        <v>111</v>
      </c>
      <c r="L241" s="70">
        <v>150</v>
      </c>
      <c r="M241" s="71">
        <v>0.85</v>
      </c>
    </row>
    <row r="242" spans="1:13" x14ac:dyDescent="0.2">
      <c r="A242" s="55" t="s">
        <v>196</v>
      </c>
      <c r="B242" s="55" t="s">
        <v>14</v>
      </c>
      <c r="C242" s="57" t="s">
        <v>171</v>
      </c>
      <c r="D242" s="55"/>
      <c r="E242" s="55" t="s">
        <v>196</v>
      </c>
      <c r="F242" s="56">
        <v>6313</v>
      </c>
      <c r="G242" s="56" t="s">
        <v>197</v>
      </c>
      <c r="H242" s="55" t="s">
        <v>36</v>
      </c>
      <c r="I242" s="65">
        <v>6.61</v>
      </c>
      <c r="J242" s="68">
        <v>9</v>
      </c>
      <c r="K242" s="68">
        <v>59</v>
      </c>
      <c r="L242" s="68">
        <v>79</v>
      </c>
      <c r="M242" s="69">
        <v>0.85</v>
      </c>
    </row>
    <row r="243" spans="1:13" x14ac:dyDescent="0.2">
      <c r="A243" s="57" t="s">
        <v>196</v>
      </c>
      <c r="B243" s="57" t="s">
        <v>14</v>
      </c>
      <c r="C243" s="57" t="s">
        <v>171</v>
      </c>
      <c r="D243" s="57"/>
      <c r="E243" s="57" t="s">
        <v>196</v>
      </c>
      <c r="F243" s="58">
        <v>6318</v>
      </c>
      <c r="G243" s="58" t="s">
        <v>198</v>
      </c>
      <c r="H243" s="57" t="s">
        <v>36</v>
      </c>
      <c r="I243" s="66">
        <v>30</v>
      </c>
      <c r="J243" s="70">
        <v>2</v>
      </c>
      <c r="K243" s="70">
        <v>13</v>
      </c>
      <c r="L243" s="70">
        <v>17</v>
      </c>
      <c r="M243" s="71">
        <v>0.85</v>
      </c>
    </row>
    <row r="244" spans="1:13" x14ac:dyDescent="0.2">
      <c r="A244" s="55" t="s">
        <v>196</v>
      </c>
      <c r="B244" s="55" t="s">
        <v>14</v>
      </c>
      <c r="C244" s="57" t="s">
        <v>171</v>
      </c>
      <c r="D244" s="55"/>
      <c r="E244" s="55" t="s">
        <v>196</v>
      </c>
      <c r="F244" s="56">
        <v>6319</v>
      </c>
      <c r="G244" s="56" t="s">
        <v>199</v>
      </c>
      <c r="H244" s="55" t="s">
        <v>36</v>
      </c>
      <c r="I244" s="65"/>
      <c r="J244" s="68" t="s">
        <v>80</v>
      </c>
      <c r="K244" s="68" t="s">
        <v>80</v>
      </c>
      <c r="L244" s="68" t="s">
        <v>80</v>
      </c>
      <c r="M244" s="69">
        <v>0.85</v>
      </c>
    </row>
    <row r="245" spans="1:13" x14ac:dyDescent="0.2">
      <c r="A245" s="57" t="s">
        <v>200</v>
      </c>
      <c r="B245" s="57" t="s">
        <v>14</v>
      </c>
      <c r="C245" s="57" t="s">
        <v>171</v>
      </c>
      <c r="D245" s="57"/>
      <c r="E245" s="57" t="s">
        <v>200</v>
      </c>
      <c r="F245" s="58">
        <v>6321</v>
      </c>
      <c r="G245" s="58" t="s">
        <v>201</v>
      </c>
      <c r="H245" s="57" t="s">
        <v>26</v>
      </c>
      <c r="I245" s="66">
        <v>2</v>
      </c>
      <c r="J245" s="70">
        <v>30</v>
      </c>
      <c r="K245" s="70">
        <v>195</v>
      </c>
      <c r="L245" s="70">
        <v>263</v>
      </c>
      <c r="M245" s="71">
        <v>0.85</v>
      </c>
    </row>
    <row r="246" spans="1:13" x14ac:dyDescent="0.2">
      <c r="A246" s="55" t="s">
        <v>202</v>
      </c>
      <c r="B246" s="55" t="s">
        <v>14</v>
      </c>
      <c r="C246" s="57" t="s">
        <v>171</v>
      </c>
      <c r="D246" s="55"/>
      <c r="E246" s="55" t="s">
        <v>202</v>
      </c>
      <c r="F246" s="56">
        <v>6336</v>
      </c>
      <c r="G246" s="56" t="s">
        <v>203</v>
      </c>
      <c r="H246" s="55" t="s">
        <v>57</v>
      </c>
      <c r="I246" s="65">
        <v>15</v>
      </c>
      <c r="J246" s="68">
        <v>4</v>
      </c>
      <c r="K246" s="68">
        <v>26</v>
      </c>
      <c r="L246" s="68">
        <v>35</v>
      </c>
      <c r="M246" s="69">
        <v>0.85</v>
      </c>
    </row>
    <row r="247" spans="1:13" x14ac:dyDescent="0.2">
      <c r="A247" s="57" t="s">
        <v>202</v>
      </c>
      <c r="B247" s="57" t="s">
        <v>14</v>
      </c>
      <c r="C247" s="57" t="s">
        <v>171</v>
      </c>
      <c r="D247" s="57"/>
      <c r="E247" s="57" t="s">
        <v>202</v>
      </c>
      <c r="F247" s="58">
        <v>6330</v>
      </c>
      <c r="G247" s="58" t="s">
        <v>204</v>
      </c>
      <c r="H247" s="57" t="s">
        <v>57</v>
      </c>
      <c r="I247" s="66">
        <v>15</v>
      </c>
      <c r="J247" s="70">
        <v>4</v>
      </c>
      <c r="K247" s="70">
        <v>26</v>
      </c>
      <c r="L247" s="70">
        <v>35</v>
      </c>
      <c r="M247" s="71">
        <v>0.85</v>
      </c>
    </row>
    <row r="248" spans="1:13" x14ac:dyDescent="0.2">
      <c r="A248" s="55" t="s">
        <v>202</v>
      </c>
      <c r="B248" s="55" t="s">
        <v>14</v>
      </c>
      <c r="C248" s="57" t="s">
        <v>171</v>
      </c>
      <c r="D248" s="55"/>
      <c r="E248" s="55" t="s">
        <v>202</v>
      </c>
      <c r="F248" s="56">
        <v>6331</v>
      </c>
      <c r="G248" s="56" t="s">
        <v>205</v>
      </c>
      <c r="H248" s="55" t="s">
        <v>57</v>
      </c>
      <c r="I248" s="65">
        <v>15</v>
      </c>
      <c r="J248" s="68">
        <v>4</v>
      </c>
      <c r="K248" s="68">
        <v>26</v>
      </c>
      <c r="L248" s="68">
        <v>35</v>
      </c>
      <c r="M248" s="69">
        <v>0.85</v>
      </c>
    </row>
    <row r="249" spans="1:13" x14ac:dyDescent="0.2">
      <c r="A249" s="57" t="s">
        <v>202</v>
      </c>
      <c r="B249" s="57" t="s">
        <v>14</v>
      </c>
      <c r="C249" s="57" t="s">
        <v>171</v>
      </c>
      <c r="D249" s="57"/>
      <c r="E249" s="57" t="s">
        <v>202</v>
      </c>
      <c r="F249" s="58">
        <v>6332</v>
      </c>
      <c r="G249" s="58" t="s">
        <v>206</v>
      </c>
      <c r="H249" s="57" t="s">
        <v>57</v>
      </c>
      <c r="I249" s="66">
        <v>15</v>
      </c>
      <c r="J249" s="70">
        <v>4</v>
      </c>
      <c r="K249" s="70">
        <v>26</v>
      </c>
      <c r="L249" s="70">
        <v>35</v>
      </c>
      <c r="M249" s="71">
        <v>0.85</v>
      </c>
    </row>
    <row r="250" spans="1:13" x14ac:dyDescent="0.2">
      <c r="A250" s="55" t="s">
        <v>202</v>
      </c>
      <c r="B250" s="55" t="s">
        <v>14</v>
      </c>
      <c r="C250" s="57" t="s">
        <v>171</v>
      </c>
      <c r="D250" s="55"/>
      <c r="E250" s="55" t="s">
        <v>202</v>
      </c>
      <c r="F250" s="56">
        <v>6333</v>
      </c>
      <c r="G250" s="56" t="s">
        <v>207</v>
      </c>
      <c r="H250" s="55" t="s">
        <v>57</v>
      </c>
      <c r="I250" s="65">
        <v>15</v>
      </c>
      <c r="J250" s="68">
        <v>4</v>
      </c>
      <c r="K250" s="68">
        <v>26</v>
      </c>
      <c r="L250" s="68">
        <v>35</v>
      </c>
      <c r="M250" s="69">
        <v>0.85</v>
      </c>
    </row>
    <row r="251" spans="1:13" x14ac:dyDescent="0.2">
      <c r="A251" s="57" t="s">
        <v>202</v>
      </c>
      <c r="B251" s="57" t="s">
        <v>14</v>
      </c>
      <c r="C251" s="57" t="s">
        <v>171</v>
      </c>
      <c r="D251" s="57"/>
      <c r="E251" s="57" t="s">
        <v>202</v>
      </c>
      <c r="F251" s="58">
        <v>6334</v>
      </c>
      <c r="G251" s="58" t="s">
        <v>208</v>
      </c>
      <c r="H251" s="57" t="s">
        <v>57</v>
      </c>
      <c r="I251" s="66">
        <v>15</v>
      </c>
      <c r="J251" s="70">
        <v>4</v>
      </c>
      <c r="K251" s="70">
        <v>26</v>
      </c>
      <c r="L251" s="70">
        <v>35</v>
      </c>
      <c r="M251" s="71">
        <v>0.85</v>
      </c>
    </row>
    <row r="252" spans="1:13" x14ac:dyDescent="0.2">
      <c r="A252" s="55" t="s">
        <v>202</v>
      </c>
      <c r="B252" s="55" t="s">
        <v>14</v>
      </c>
      <c r="C252" s="57" t="s">
        <v>171</v>
      </c>
      <c r="D252" s="55"/>
      <c r="E252" s="55" t="s">
        <v>202</v>
      </c>
      <c r="F252" s="56">
        <v>6335</v>
      </c>
      <c r="G252" s="56" t="s">
        <v>209</v>
      </c>
      <c r="H252" s="55" t="s">
        <v>57</v>
      </c>
      <c r="I252" s="65">
        <v>15</v>
      </c>
      <c r="J252" s="68">
        <v>4</v>
      </c>
      <c r="K252" s="68">
        <v>26</v>
      </c>
      <c r="L252" s="68">
        <v>35</v>
      </c>
      <c r="M252" s="69">
        <v>0.85</v>
      </c>
    </row>
    <row r="253" spans="1:13" x14ac:dyDescent="0.2">
      <c r="A253" s="57" t="s">
        <v>202</v>
      </c>
      <c r="B253" s="57" t="s">
        <v>14</v>
      </c>
      <c r="C253" s="57" t="s">
        <v>171</v>
      </c>
      <c r="D253" s="57"/>
      <c r="E253" s="57" t="s">
        <v>202</v>
      </c>
      <c r="F253" s="58">
        <v>6330</v>
      </c>
      <c r="G253" s="58" t="s">
        <v>204</v>
      </c>
      <c r="H253" s="57" t="s">
        <v>57</v>
      </c>
      <c r="I253" s="66">
        <v>2.4</v>
      </c>
      <c r="J253" s="70">
        <v>25</v>
      </c>
      <c r="K253" s="70">
        <v>162</v>
      </c>
      <c r="L253" s="70">
        <v>219</v>
      </c>
      <c r="M253" s="71">
        <v>0.85</v>
      </c>
    </row>
    <row r="254" spans="1:13" x14ac:dyDescent="0.2">
      <c r="A254" s="55" t="s">
        <v>202</v>
      </c>
      <c r="B254" s="55" t="s">
        <v>14</v>
      </c>
      <c r="C254" s="57" t="s">
        <v>171</v>
      </c>
      <c r="D254" s="55"/>
      <c r="E254" s="55" t="s">
        <v>202</v>
      </c>
      <c r="F254" s="56">
        <v>6331</v>
      </c>
      <c r="G254" s="56" t="s">
        <v>205</v>
      </c>
      <c r="H254" s="55" t="s">
        <v>57</v>
      </c>
      <c r="I254" s="65">
        <v>2.4</v>
      </c>
      <c r="J254" s="68">
        <v>25</v>
      </c>
      <c r="K254" s="68">
        <v>162</v>
      </c>
      <c r="L254" s="68">
        <v>219</v>
      </c>
      <c r="M254" s="69">
        <v>0.85</v>
      </c>
    </row>
    <row r="255" spans="1:13" x14ac:dyDescent="0.2">
      <c r="A255" s="57" t="s">
        <v>202</v>
      </c>
      <c r="B255" s="57" t="s">
        <v>14</v>
      </c>
      <c r="C255" s="57" t="s">
        <v>171</v>
      </c>
      <c r="D255" s="57"/>
      <c r="E255" s="57" t="s">
        <v>202</v>
      </c>
      <c r="F255" s="58">
        <v>6319</v>
      </c>
      <c r="G255" s="58" t="s">
        <v>199</v>
      </c>
      <c r="H255" s="57" t="s">
        <v>36</v>
      </c>
      <c r="I255" s="66">
        <v>30</v>
      </c>
      <c r="J255" s="70">
        <v>2</v>
      </c>
      <c r="K255" s="70">
        <v>13</v>
      </c>
      <c r="L255" s="70">
        <v>17</v>
      </c>
      <c r="M255" s="71">
        <v>0.85</v>
      </c>
    </row>
    <row r="256" spans="1:13" x14ac:dyDescent="0.2">
      <c r="A256" s="55" t="s">
        <v>202</v>
      </c>
      <c r="B256" s="55" t="s">
        <v>14</v>
      </c>
      <c r="C256" s="57" t="s">
        <v>171</v>
      </c>
      <c r="D256" s="55"/>
      <c r="E256" s="55" t="s">
        <v>202</v>
      </c>
      <c r="F256" s="56">
        <v>6706</v>
      </c>
      <c r="G256" s="56" t="s">
        <v>169</v>
      </c>
      <c r="H256" s="55" t="s">
        <v>40</v>
      </c>
      <c r="I256" s="65">
        <v>6.67</v>
      </c>
      <c r="J256" s="68">
        <v>8</v>
      </c>
      <c r="K256" s="68">
        <v>58</v>
      </c>
      <c r="L256" s="68">
        <v>79</v>
      </c>
      <c r="M256" s="69">
        <v>0.85</v>
      </c>
    </row>
    <row r="257" spans="1:13" x14ac:dyDescent="0.2">
      <c r="A257" s="57" t="s">
        <v>210</v>
      </c>
      <c r="B257" s="57" t="s">
        <v>14</v>
      </c>
      <c r="C257" s="57" t="s">
        <v>171</v>
      </c>
      <c r="D257" s="57"/>
      <c r="E257" s="57" t="s">
        <v>210</v>
      </c>
      <c r="F257" s="58">
        <v>6319</v>
      </c>
      <c r="G257" s="58" t="s">
        <v>199</v>
      </c>
      <c r="H257" s="57" t="s">
        <v>36</v>
      </c>
      <c r="I257" s="66">
        <v>30</v>
      </c>
      <c r="J257" s="70">
        <v>2</v>
      </c>
      <c r="K257" s="70">
        <v>11</v>
      </c>
      <c r="L257" s="70">
        <v>15</v>
      </c>
      <c r="M257" s="71">
        <v>0.75</v>
      </c>
    </row>
    <row r="258" spans="1:13" x14ac:dyDescent="0.2">
      <c r="A258" s="55" t="s">
        <v>210</v>
      </c>
      <c r="B258" s="55" t="s">
        <v>14</v>
      </c>
      <c r="C258" s="57" t="s">
        <v>171</v>
      </c>
      <c r="D258" s="55"/>
      <c r="E258" s="55" t="s">
        <v>210</v>
      </c>
      <c r="F258" s="56">
        <v>6706</v>
      </c>
      <c r="G258" s="56" t="s">
        <v>169</v>
      </c>
      <c r="H258" s="55" t="s">
        <v>40</v>
      </c>
      <c r="I258" s="65">
        <v>6.67</v>
      </c>
      <c r="J258" s="68">
        <v>8</v>
      </c>
      <c r="K258" s="68">
        <v>51</v>
      </c>
      <c r="L258" s="68">
        <v>69</v>
      </c>
      <c r="M258" s="69">
        <v>0.75</v>
      </c>
    </row>
    <row r="259" spans="1:13" x14ac:dyDescent="0.2">
      <c r="A259" s="57" t="s">
        <v>211</v>
      </c>
      <c r="B259" s="57" t="s">
        <v>14</v>
      </c>
      <c r="C259" s="57" t="s">
        <v>171</v>
      </c>
      <c r="D259" s="57"/>
      <c r="E259" s="57" t="s">
        <v>212</v>
      </c>
      <c r="F259" s="58">
        <v>6315</v>
      </c>
      <c r="G259" s="58" t="s">
        <v>213</v>
      </c>
      <c r="H259" s="57" t="s">
        <v>36</v>
      </c>
      <c r="I259" s="66">
        <v>3.75</v>
      </c>
      <c r="J259" s="70">
        <v>16</v>
      </c>
      <c r="K259" s="70">
        <v>104</v>
      </c>
      <c r="L259" s="70">
        <v>140</v>
      </c>
      <c r="M259" s="71">
        <v>0.85</v>
      </c>
    </row>
    <row r="260" spans="1:13" x14ac:dyDescent="0.2">
      <c r="A260" s="55" t="s">
        <v>214</v>
      </c>
      <c r="B260" s="55" t="s">
        <v>14</v>
      </c>
      <c r="C260" s="57" t="s">
        <v>171</v>
      </c>
      <c r="D260" s="55"/>
      <c r="E260" s="55" t="s">
        <v>214</v>
      </c>
      <c r="F260" s="56">
        <v>5617</v>
      </c>
      <c r="G260" s="56" t="s">
        <v>215</v>
      </c>
      <c r="H260" s="55" t="s">
        <v>57</v>
      </c>
      <c r="I260" s="65">
        <v>6.56</v>
      </c>
      <c r="J260" s="68">
        <v>9</v>
      </c>
      <c r="K260" s="68">
        <v>59</v>
      </c>
      <c r="L260" s="68">
        <v>80</v>
      </c>
      <c r="M260" s="69">
        <v>0.85</v>
      </c>
    </row>
    <row r="261" spans="1:13" x14ac:dyDescent="0.2">
      <c r="A261" s="57" t="s">
        <v>214</v>
      </c>
      <c r="B261" s="57" t="s">
        <v>14</v>
      </c>
      <c r="C261" s="57" t="s">
        <v>171</v>
      </c>
      <c r="D261" s="57"/>
      <c r="E261" s="57" t="s">
        <v>214</v>
      </c>
      <c r="F261" s="58">
        <v>5619</v>
      </c>
      <c r="G261" s="58" t="s">
        <v>216</v>
      </c>
      <c r="H261" s="57" t="s">
        <v>57</v>
      </c>
      <c r="I261" s="66">
        <v>6.56</v>
      </c>
      <c r="J261" s="70">
        <v>9</v>
      </c>
      <c r="K261" s="70">
        <v>59</v>
      </c>
      <c r="L261" s="70">
        <v>80</v>
      </c>
      <c r="M261" s="71">
        <v>0.85</v>
      </c>
    </row>
    <row r="262" spans="1:13" x14ac:dyDescent="0.2">
      <c r="A262" s="55" t="s">
        <v>214</v>
      </c>
      <c r="B262" s="55" t="s">
        <v>14</v>
      </c>
      <c r="C262" s="57" t="s">
        <v>171</v>
      </c>
      <c r="D262" s="55"/>
      <c r="E262" s="55" t="s">
        <v>214</v>
      </c>
      <c r="F262" s="56">
        <v>5620</v>
      </c>
      <c r="G262" s="56" t="s">
        <v>217</v>
      </c>
      <c r="H262" s="55" t="s">
        <v>57</v>
      </c>
      <c r="I262" s="65">
        <v>6.56</v>
      </c>
      <c r="J262" s="68">
        <v>9</v>
      </c>
      <c r="K262" s="68">
        <v>59</v>
      </c>
      <c r="L262" s="68">
        <v>80</v>
      </c>
      <c r="M262" s="69">
        <v>0.85</v>
      </c>
    </row>
    <row r="263" spans="1:13" x14ac:dyDescent="0.2">
      <c r="A263" s="57" t="s">
        <v>214</v>
      </c>
      <c r="B263" s="57" t="s">
        <v>14</v>
      </c>
      <c r="C263" s="57" t="s">
        <v>171</v>
      </c>
      <c r="D263" s="57"/>
      <c r="E263" s="57" t="s">
        <v>214</v>
      </c>
      <c r="F263" s="58">
        <v>5621</v>
      </c>
      <c r="G263" s="58" t="s">
        <v>218</v>
      </c>
      <c r="H263" s="57" t="s">
        <v>57</v>
      </c>
      <c r="I263" s="66">
        <v>6.56</v>
      </c>
      <c r="J263" s="70">
        <v>9</v>
      </c>
      <c r="K263" s="70">
        <v>59</v>
      </c>
      <c r="L263" s="70">
        <v>80</v>
      </c>
      <c r="M263" s="71">
        <v>0.85</v>
      </c>
    </row>
    <row r="264" spans="1:13" x14ac:dyDescent="0.2">
      <c r="A264" s="55" t="s">
        <v>214</v>
      </c>
      <c r="B264" s="55" t="s">
        <v>14</v>
      </c>
      <c r="C264" s="57" t="s">
        <v>171</v>
      </c>
      <c r="D264" s="55"/>
      <c r="E264" s="55" t="s">
        <v>214</v>
      </c>
      <c r="F264" s="56">
        <v>5822</v>
      </c>
      <c r="G264" s="56" t="s">
        <v>219</v>
      </c>
      <c r="H264" s="55" t="s">
        <v>57</v>
      </c>
      <c r="I264" s="65">
        <v>6.56</v>
      </c>
      <c r="J264" s="68">
        <v>9</v>
      </c>
      <c r="K264" s="68">
        <v>59</v>
      </c>
      <c r="L264" s="68">
        <v>80</v>
      </c>
      <c r="M264" s="69">
        <v>0.85</v>
      </c>
    </row>
    <row r="265" spans="1:13" x14ac:dyDescent="0.2">
      <c r="A265" s="57" t="s">
        <v>214</v>
      </c>
      <c r="B265" s="57" t="s">
        <v>14</v>
      </c>
      <c r="C265" s="57" t="s">
        <v>171</v>
      </c>
      <c r="D265" s="57"/>
      <c r="E265" s="57" t="s">
        <v>214</v>
      </c>
      <c r="F265" s="58">
        <v>5823</v>
      </c>
      <c r="G265" s="58" t="s">
        <v>220</v>
      </c>
      <c r="H265" s="57" t="s">
        <v>57</v>
      </c>
      <c r="I265" s="66">
        <v>6.56</v>
      </c>
      <c r="J265" s="70">
        <v>9</v>
      </c>
      <c r="K265" s="70">
        <v>59</v>
      </c>
      <c r="L265" s="70">
        <v>80</v>
      </c>
      <c r="M265" s="71">
        <v>0.85</v>
      </c>
    </row>
    <row r="266" spans="1:13" x14ac:dyDescent="0.2">
      <c r="A266" s="55" t="s">
        <v>214</v>
      </c>
      <c r="B266" s="55" t="s">
        <v>14</v>
      </c>
      <c r="C266" s="57" t="s">
        <v>171</v>
      </c>
      <c r="D266" s="55"/>
      <c r="E266" s="55" t="s">
        <v>214</v>
      </c>
      <c r="F266" s="56">
        <v>6321</v>
      </c>
      <c r="G266" s="56" t="s">
        <v>201</v>
      </c>
      <c r="H266" s="55">
        <v>0</v>
      </c>
      <c r="I266" s="65">
        <v>2</v>
      </c>
      <c r="J266" s="68">
        <v>30</v>
      </c>
      <c r="K266" s="68">
        <v>195</v>
      </c>
      <c r="L266" s="68">
        <v>263</v>
      </c>
      <c r="M266" s="69">
        <v>0.85</v>
      </c>
    </row>
    <row r="267" spans="1:13" x14ac:dyDescent="0.2">
      <c r="A267" s="57" t="s">
        <v>221</v>
      </c>
      <c r="B267" s="57" t="s">
        <v>14</v>
      </c>
      <c r="C267" s="57" t="s">
        <v>171</v>
      </c>
      <c r="D267" s="57"/>
      <c r="E267" s="57" t="s">
        <v>221</v>
      </c>
      <c r="F267" s="58">
        <v>6321</v>
      </c>
      <c r="G267" s="58" t="s">
        <v>201</v>
      </c>
      <c r="H267" s="57" t="s">
        <v>26</v>
      </c>
      <c r="I267" s="66">
        <v>2</v>
      </c>
      <c r="J267" s="70">
        <v>30</v>
      </c>
      <c r="K267" s="70">
        <v>195</v>
      </c>
      <c r="L267" s="70">
        <v>263</v>
      </c>
      <c r="M267" s="71">
        <v>0.85</v>
      </c>
    </row>
    <row r="268" spans="1:13" x14ac:dyDescent="0.2">
      <c r="A268" s="55" t="s">
        <v>222</v>
      </c>
      <c r="B268" s="55" t="s">
        <v>14</v>
      </c>
      <c r="C268" s="57" t="s">
        <v>171</v>
      </c>
      <c r="D268" s="55"/>
      <c r="E268" s="55" t="s">
        <v>222</v>
      </c>
      <c r="F268" s="56">
        <v>5534</v>
      </c>
      <c r="G268" s="56" t="s">
        <v>185</v>
      </c>
      <c r="H268" s="55" t="s">
        <v>186</v>
      </c>
      <c r="I268" s="65">
        <v>5</v>
      </c>
      <c r="J268" s="68">
        <v>12</v>
      </c>
      <c r="K268" s="68">
        <v>78</v>
      </c>
      <c r="L268" s="68">
        <v>105</v>
      </c>
      <c r="M268" s="69">
        <v>0.85</v>
      </c>
    </row>
    <row r="269" spans="1:13" x14ac:dyDescent="0.2">
      <c r="A269" s="57" t="s">
        <v>222</v>
      </c>
      <c r="B269" s="57" t="s">
        <v>14</v>
      </c>
      <c r="C269" s="57" t="s">
        <v>171</v>
      </c>
      <c r="D269" s="57"/>
      <c r="E269" s="57" t="s">
        <v>222</v>
      </c>
      <c r="F269" s="58">
        <v>5534</v>
      </c>
      <c r="G269" s="58" t="s">
        <v>185</v>
      </c>
      <c r="H269" s="57" t="s">
        <v>186</v>
      </c>
      <c r="I269" s="66">
        <v>6</v>
      </c>
      <c r="J269" s="70">
        <v>10</v>
      </c>
      <c r="K269" s="70">
        <v>66</v>
      </c>
      <c r="L269" s="70">
        <v>89</v>
      </c>
      <c r="M269" s="71">
        <v>0.85</v>
      </c>
    </row>
    <row r="270" spans="1:13" x14ac:dyDescent="0.2">
      <c r="A270" s="55" t="s">
        <v>222</v>
      </c>
      <c r="B270" s="55" t="s">
        <v>14</v>
      </c>
      <c r="C270" s="57" t="s">
        <v>171</v>
      </c>
      <c r="D270" s="55"/>
      <c r="E270" s="55" t="s">
        <v>222</v>
      </c>
      <c r="F270" s="56">
        <v>5829</v>
      </c>
      <c r="G270" s="56" t="s">
        <v>187</v>
      </c>
      <c r="H270" s="55" t="s">
        <v>186</v>
      </c>
      <c r="I270" s="65">
        <v>6</v>
      </c>
      <c r="J270" s="68">
        <v>10</v>
      </c>
      <c r="K270" s="68">
        <v>66</v>
      </c>
      <c r="L270" s="68">
        <v>89</v>
      </c>
      <c r="M270" s="69">
        <v>0.85</v>
      </c>
    </row>
    <row r="271" spans="1:13" x14ac:dyDescent="0.2">
      <c r="A271" s="57" t="s">
        <v>222</v>
      </c>
      <c r="B271" s="57" t="s">
        <v>14</v>
      </c>
      <c r="C271" s="57" t="s">
        <v>171</v>
      </c>
      <c r="D271" s="57"/>
      <c r="E271" s="57" t="s">
        <v>222</v>
      </c>
      <c r="F271" s="58">
        <v>5830</v>
      </c>
      <c r="G271" s="58" t="s">
        <v>188</v>
      </c>
      <c r="H271" s="57" t="s">
        <v>186</v>
      </c>
      <c r="I271" s="66">
        <v>6</v>
      </c>
      <c r="J271" s="70">
        <v>10</v>
      </c>
      <c r="K271" s="70">
        <v>66</v>
      </c>
      <c r="L271" s="70">
        <v>89</v>
      </c>
      <c r="M271" s="71">
        <v>0.85</v>
      </c>
    </row>
    <row r="272" spans="1:13" x14ac:dyDescent="0.2">
      <c r="A272" s="55" t="s">
        <v>222</v>
      </c>
      <c r="B272" s="55" t="s">
        <v>14</v>
      </c>
      <c r="C272" s="57" t="s">
        <v>171</v>
      </c>
      <c r="D272" s="55"/>
      <c r="E272" s="55" t="s">
        <v>222</v>
      </c>
      <c r="F272" s="56">
        <v>5831</v>
      </c>
      <c r="G272" s="56" t="s">
        <v>189</v>
      </c>
      <c r="H272" s="55" t="s">
        <v>186</v>
      </c>
      <c r="I272" s="65">
        <v>6</v>
      </c>
      <c r="J272" s="68">
        <v>10</v>
      </c>
      <c r="K272" s="68">
        <v>66</v>
      </c>
      <c r="L272" s="68">
        <v>89</v>
      </c>
      <c r="M272" s="69">
        <v>0.85</v>
      </c>
    </row>
    <row r="273" spans="1:13" x14ac:dyDescent="0.2">
      <c r="A273" s="57" t="s">
        <v>222</v>
      </c>
      <c r="B273" s="57" t="s">
        <v>14</v>
      </c>
      <c r="C273" s="57" t="s">
        <v>171</v>
      </c>
      <c r="D273" s="57"/>
      <c r="E273" s="57" t="s">
        <v>222</v>
      </c>
      <c r="F273" s="58">
        <v>5832</v>
      </c>
      <c r="G273" s="58" t="s">
        <v>190</v>
      </c>
      <c r="H273" s="57" t="s">
        <v>186</v>
      </c>
      <c r="I273" s="66">
        <v>6</v>
      </c>
      <c r="J273" s="70">
        <v>10</v>
      </c>
      <c r="K273" s="70">
        <v>66</v>
      </c>
      <c r="L273" s="70">
        <v>89</v>
      </c>
      <c r="M273" s="71">
        <v>0.85</v>
      </c>
    </row>
    <row r="274" spans="1:13" x14ac:dyDescent="0.2">
      <c r="A274" s="55" t="s">
        <v>222</v>
      </c>
      <c r="B274" s="55" t="s">
        <v>14</v>
      </c>
      <c r="C274" s="57" t="s">
        <v>171</v>
      </c>
      <c r="D274" s="55"/>
      <c r="E274" s="55" t="s">
        <v>222</v>
      </c>
      <c r="F274" s="56">
        <v>6512</v>
      </c>
      <c r="G274" s="56" t="s">
        <v>191</v>
      </c>
      <c r="H274" s="55" t="s">
        <v>186</v>
      </c>
      <c r="I274" s="65">
        <v>6</v>
      </c>
      <c r="J274" s="68">
        <v>10</v>
      </c>
      <c r="K274" s="68">
        <v>66</v>
      </c>
      <c r="L274" s="68">
        <v>89</v>
      </c>
      <c r="M274" s="69">
        <v>0.85</v>
      </c>
    </row>
    <row r="275" spans="1:13" x14ac:dyDescent="0.2">
      <c r="A275" s="57" t="s">
        <v>222</v>
      </c>
      <c r="B275" s="57" t="s">
        <v>14</v>
      </c>
      <c r="C275" s="57" t="s">
        <v>171</v>
      </c>
      <c r="D275" s="57"/>
      <c r="E275" s="57" t="s">
        <v>222</v>
      </c>
      <c r="F275" s="58">
        <v>6513</v>
      </c>
      <c r="G275" s="58" t="s">
        <v>192</v>
      </c>
      <c r="H275" s="57" t="s">
        <v>186</v>
      </c>
      <c r="I275" s="66">
        <v>6</v>
      </c>
      <c r="J275" s="70">
        <v>10</v>
      </c>
      <c r="K275" s="70">
        <v>66</v>
      </c>
      <c r="L275" s="70">
        <v>89</v>
      </c>
      <c r="M275" s="71">
        <v>0.85</v>
      </c>
    </row>
    <row r="276" spans="1:13" x14ac:dyDescent="0.2">
      <c r="A276" s="55" t="s">
        <v>222</v>
      </c>
      <c r="B276" s="55" t="s">
        <v>14</v>
      </c>
      <c r="C276" s="57" t="s">
        <v>171</v>
      </c>
      <c r="D276" s="55"/>
      <c r="E276" s="55" t="s">
        <v>222</v>
      </c>
      <c r="F276" s="56">
        <v>5534</v>
      </c>
      <c r="G276" s="56" t="s">
        <v>185</v>
      </c>
      <c r="H276" s="55" t="s">
        <v>186</v>
      </c>
      <c r="I276" s="65">
        <v>6</v>
      </c>
      <c r="J276" s="68">
        <v>10</v>
      </c>
      <c r="K276" s="68">
        <v>66</v>
      </c>
      <c r="L276" s="68">
        <v>89</v>
      </c>
      <c r="M276" s="69">
        <v>0.85</v>
      </c>
    </row>
    <row r="277" spans="1:13" x14ac:dyDescent="0.2">
      <c r="A277" s="57" t="s">
        <v>223</v>
      </c>
      <c r="B277" s="57" t="s">
        <v>14</v>
      </c>
      <c r="C277" s="57" t="s">
        <v>171</v>
      </c>
      <c r="D277" s="57"/>
      <c r="E277" s="57" t="s">
        <v>223</v>
      </c>
      <c r="F277" s="58">
        <v>5536</v>
      </c>
      <c r="G277" s="58" t="s">
        <v>115</v>
      </c>
      <c r="H277" s="57" t="s">
        <v>47</v>
      </c>
      <c r="I277" s="66">
        <v>2.35</v>
      </c>
      <c r="J277" s="70">
        <v>25</v>
      </c>
      <c r="K277" s="70">
        <v>170</v>
      </c>
      <c r="L277" s="70">
        <v>227</v>
      </c>
      <c r="M277" s="71">
        <v>0.85</v>
      </c>
    </row>
    <row r="278" spans="1:13" x14ac:dyDescent="0.2">
      <c r="A278" s="55" t="s">
        <v>223</v>
      </c>
      <c r="B278" s="55" t="s">
        <v>14</v>
      </c>
      <c r="C278" s="57" t="s">
        <v>171</v>
      </c>
      <c r="D278" s="55"/>
      <c r="E278" s="55" t="s">
        <v>223</v>
      </c>
      <c r="F278" s="56">
        <v>6302</v>
      </c>
      <c r="G278" s="56" t="s">
        <v>113</v>
      </c>
      <c r="H278" s="55" t="s">
        <v>47</v>
      </c>
      <c r="I278" s="65">
        <v>2.35</v>
      </c>
      <c r="J278" s="68">
        <v>25</v>
      </c>
      <c r="K278" s="68">
        <v>170</v>
      </c>
      <c r="L278" s="68">
        <v>227</v>
      </c>
      <c r="M278" s="69">
        <v>0.85</v>
      </c>
    </row>
    <row r="279" spans="1:13" x14ac:dyDescent="0.2">
      <c r="A279" s="57" t="s">
        <v>223</v>
      </c>
      <c r="B279" s="57" t="s">
        <v>14</v>
      </c>
      <c r="C279" s="57" t="s">
        <v>171</v>
      </c>
      <c r="D279" s="57"/>
      <c r="E279" s="57" t="s">
        <v>223</v>
      </c>
      <c r="F279" s="58">
        <v>6415</v>
      </c>
      <c r="G279" s="58" t="s">
        <v>63</v>
      </c>
      <c r="H279" s="57" t="s">
        <v>47</v>
      </c>
      <c r="I279" s="66">
        <v>2.35</v>
      </c>
      <c r="J279" s="70">
        <v>25</v>
      </c>
      <c r="K279" s="70">
        <v>170</v>
      </c>
      <c r="L279" s="70">
        <v>227</v>
      </c>
      <c r="M279" s="71">
        <v>0.85</v>
      </c>
    </row>
    <row r="280" spans="1:13" x14ac:dyDescent="0.2">
      <c r="A280" s="55" t="s">
        <v>223</v>
      </c>
      <c r="B280" s="55" t="s">
        <v>14</v>
      </c>
      <c r="C280" s="57" t="s">
        <v>171</v>
      </c>
      <c r="D280" s="55"/>
      <c r="E280" s="55" t="s">
        <v>223</v>
      </c>
      <c r="F280" s="56">
        <v>6320</v>
      </c>
      <c r="G280" s="56" t="s">
        <v>25</v>
      </c>
      <c r="H280" s="55" t="s">
        <v>26</v>
      </c>
      <c r="I280" s="65">
        <v>6</v>
      </c>
      <c r="J280" s="68">
        <v>10</v>
      </c>
      <c r="K280" s="68">
        <v>66</v>
      </c>
      <c r="L280" s="68">
        <v>89</v>
      </c>
      <c r="M280" s="69">
        <v>0.85</v>
      </c>
    </row>
    <row r="281" spans="1:13" x14ac:dyDescent="0.2">
      <c r="A281" s="57" t="s">
        <v>224</v>
      </c>
      <c r="B281" s="57" t="s">
        <v>14</v>
      </c>
      <c r="C281" s="57" t="s">
        <v>171</v>
      </c>
      <c r="D281" s="57"/>
      <c r="E281" s="57" t="s">
        <v>224</v>
      </c>
      <c r="F281" s="58">
        <v>5617</v>
      </c>
      <c r="G281" s="58" t="s">
        <v>215</v>
      </c>
      <c r="H281" s="57" t="s">
        <v>57</v>
      </c>
      <c r="I281" s="66">
        <v>7.5</v>
      </c>
      <c r="J281" s="70">
        <v>8</v>
      </c>
      <c r="K281" s="70">
        <v>52</v>
      </c>
      <c r="L281" s="70">
        <v>70</v>
      </c>
      <c r="M281" s="71">
        <v>0.85</v>
      </c>
    </row>
    <row r="282" spans="1:13" x14ac:dyDescent="0.2">
      <c r="A282" s="55" t="s">
        <v>224</v>
      </c>
      <c r="B282" s="55" t="s">
        <v>14</v>
      </c>
      <c r="C282" s="57" t="s">
        <v>171</v>
      </c>
      <c r="D282" s="55"/>
      <c r="E282" s="55" t="s">
        <v>224</v>
      </c>
      <c r="F282" s="56">
        <v>5619</v>
      </c>
      <c r="G282" s="56" t="s">
        <v>216</v>
      </c>
      <c r="H282" s="55" t="s">
        <v>57</v>
      </c>
      <c r="I282" s="65">
        <v>7.5</v>
      </c>
      <c r="J282" s="68">
        <v>8</v>
      </c>
      <c r="K282" s="68">
        <v>52</v>
      </c>
      <c r="L282" s="68">
        <v>70</v>
      </c>
      <c r="M282" s="69">
        <v>0.85</v>
      </c>
    </row>
    <row r="283" spans="1:13" x14ac:dyDescent="0.2">
      <c r="A283" s="57" t="s">
        <v>224</v>
      </c>
      <c r="B283" s="57" t="s">
        <v>14</v>
      </c>
      <c r="C283" s="57" t="s">
        <v>171</v>
      </c>
      <c r="D283" s="57"/>
      <c r="E283" s="57" t="s">
        <v>224</v>
      </c>
      <c r="F283" s="58">
        <v>5620</v>
      </c>
      <c r="G283" s="58" t="s">
        <v>217</v>
      </c>
      <c r="H283" s="57" t="s">
        <v>57</v>
      </c>
      <c r="I283" s="66">
        <v>7.5</v>
      </c>
      <c r="J283" s="70">
        <v>8</v>
      </c>
      <c r="K283" s="70">
        <v>52</v>
      </c>
      <c r="L283" s="70">
        <v>70</v>
      </c>
      <c r="M283" s="71">
        <v>0.85</v>
      </c>
    </row>
    <row r="284" spans="1:13" x14ac:dyDescent="0.2">
      <c r="A284" s="55" t="s">
        <v>224</v>
      </c>
      <c r="B284" s="55" t="s">
        <v>14</v>
      </c>
      <c r="C284" s="57" t="s">
        <v>171</v>
      </c>
      <c r="D284" s="55"/>
      <c r="E284" s="55" t="s">
        <v>224</v>
      </c>
      <c r="F284" s="56">
        <v>5621</v>
      </c>
      <c r="G284" s="56" t="s">
        <v>218</v>
      </c>
      <c r="H284" s="55" t="s">
        <v>57</v>
      </c>
      <c r="I284" s="65">
        <v>7.5</v>
      </c>
      <c r="J284" s="68">
        <v>8</v>
      </c>
      <c r="K284" s="68">
        <v>52</v>
      </c>
      <c r="L284" s="68">
        <v>70</v>
      </c>
      <c r="M284" s="69">
        <v>0.85</v>
      </c>
    </row>
    <row r="285" spans="1:13" x14ac:dyDescent="0.2">
      <c r="A285" s="57" t="s">
        <v>224</v>
      </c>
      <c r="B285" s="57" t="s">
        <v>14</v>
      </c>
      <c r="C285" s="57" t="s">
        <v>171</v>
      </c>
      <c r="D285" s="57"/>
      <c r="E285" s="57" t="s">
        <v>224</v>
      </c>
      <c r="F285" s="58">
        <v>5822</v>
      </c>
      <c r="G285" s="58" t="s">
        <v>219</v>
      </c>
      <c r="H285" s="57" t="s">
        <v>57</v>
      </c>
      <c r="I285" s="66">
        <v>7.5</v>
      </c>
      <c r="J285" s="70">
        <v>8</v>
      </c>
      <c r="K285" s="70">
        <v>52</v>
      </c>
      <c r="L285" s="70">
        <v>70</v>
      </c>
      <c r="M285" s="71">
        <v>0.85</v>
      </c>
    </row>
    <row r="286" spans="1:13" x14ac:dyDescent="0.2">
      <c r="A286" s="55" t="s">
        <v>224</v>
      </c>
      <c r="B286" s="55" t="s">
        <v>14</v>
      </c>
      <c r="C286" s="57" t="s">
        <v>171</v>
      </c>
      <c r="D286" s="55"/>
      <c r="E286" s="55" t="s">
        <v>224</v>
      </c>
      <c r="F286" s="56">
        <v>5823</v>
      </c>
      <c r="G286" s="56" t="s">
        <v>220</v>
      </c>
      <c r="H286" s="55" t="s">
        <v>57</v>
      </c>
      <c r="I286" s="65">
        <v>7.5</v>
      </c>
      <c r="J286" s="68">
        <v>8</v>
      </c>
      <c r="K286" s="68">
        <v>52</v>
      </c>
      <c r="L286" s="68">
        <v>70</v>
      </c>
      <c r="M286" s="69">
        <v>0.85</v>
      </c>
    </row>
    <row r="287" spans="1:13" x14ac:dyDescent="0.2">
      <c r="A287" s="57" t="s">
        <v>225</v>
      </c>
      <c r="B287" s="57" t="s">
        <v>14</v>
      </c>
      <c r="C287" s="57" t="s">
        <v>171</v>
      </c>
      <c r="D287" s="57"/>
      <c r="E287" s="57" t="s">
        <v>225</v>
      </c>
      <c r="F287" s="58">
        <v>6320</v>
      </c>
      <c r="G287" s="58" t="s">
        <v>25</v>
      </c>
      <c r="H287" s="57" t="s">
        <v>26</v>
      </c>
      <c r="I287" s="66">
        <v>6</v>
      </c>
      <c r="J287" s="70">
        <v>10</v>
      </c>
      <c r="K287" s="70">
        <v>65</v>
      </c>
      <c r="L287" s="70">
        <v>87</v>
      </c>
      <c r="M287" s="71">
        <v>0.85</v>
      </c>
    </row>
    <row r="288" spans="1:13" x14ac:dyDescent="0.2">
      <c r="A288" s="55" t="s">
        <v>226</v>
      </c>
      <c r="B288" s="55" t="s">
        <v>14</v>
      </c>
      <c r="C288" s="57" t="s">
        <v>171</v>
      </c>
      <c r="D288" s="55"/>
      <c r="E288" s="55" t="s">
        <v>226</v>
      </c>
      <c r="F288" s="56">
        <v>6429</v>
      </c>
      <c r="G288" s="56" t="s">
        <v>227</v>
      </c>
      <c r="H288" s="55" t="s">
        <v>47</v>
      </c>
      <c r="I288" s="65">
        <v>5.13</v>
      </c>
      <c r="J288" s="68">
        <v>11</v>
      </c>
      <c r="K288" s="68">
        <v>76</v>
      </c>
      <c r="L288" s="68">
        <v>102</v>
      </c>
      <c r="M288" s="69">
        <v>0.85</v>
      </c>
    </row>
    <row r="289" spans="1:13" x14ac:dyDescent="0.2">
      <c r="A289" s="57" t="s">
        <v>226</v>
      </c>
      <c r="B289" s="57" t="s">
        <v>14</v>
      </c>
      <c r="C289" s="57" t="s">
        <v>171</v>
      </c>
      <c r="D289" s="57"/>
      <c r="E289" s="57" t="s">
        <v>226</v>
      </c>
      <c r="F289" s="58">
        <v>5314</v>
      </c>
      <c r="G289" s="58" t="s">
        <v>228</v>
      </c>
      <c r="H289" s="57" t="s">
        <v>57</v>
      </c>
      <c r="I289" s="66">
        <v>1</v>
      </c>
      <c r="J289" s="70">
        <v>60</v>
      </c>
      <c r="K289" s="70">
        <v>391</v>
      </c>
      <c r="L289" s="70">
        <v>527</v>
      </c>
      <c r="M289" s="71">
        <v>0.85</v>
      </c>
    </row>
    <row r="290" spans="1:13" x14ac:dyDescent="0.2">
      <c r="A290" s="55" t="s">
        <v>229</v>
      </c>
      <c r="B290" s="55" t="s">
        <v>14</v>
      </c>
      <c r="C290" s="57" t="s">
        <v>171</v>
      </c>
      <c r="D290" s="55"/>
      <c r="E290" s="55" t="s">
        <v>229</v>
      </c>
      <c r="F290" s="56">
        <v>6321</v>
      </c>
      <c r="G290" s="56" t="s">
        <v>201</v>
      </c>
      <c r="H290" s="55" t="s">
        <v>26</v>
      </c>
      <c r="I290" s="65">
        <v>6</v>
      </c>
      <c r="J290" s="68">
        <v>10</v>
      </c>
      <c r="K290" s="68">
        <v>65</v>
      </c>
      <c r="L290" s="68">
        <v>87</v>
      </c>
      <c r="M290" s="69">
        <v>0.85</v>
      </c>
    </row>
    <row r="291" spans="1:13" x14ac:dyDescent="0.2">
      <c r="A291" s="57" t="s">
        <v>229</v>
      </c>
      <c r="B291" s="57" t="s">
        <v>14</v>
      </c>
      <c r="C291" s="57" t="s">
        <v>171</v>
      </c>
      <c r="D291" s="57"/>
      <c r="E291" s="57" t="s">
        <v>229</v>
      </c>
      <c r="F291" s="58">
        <v>5314</v>
      </c>
      <c r="G291" s="58" t="s">
        <v>228</v>
      </c>
      <c r="H291" s="57" t="s">
        <v>57</v>
      </c>
      <c r="I291" s="66">
        <v>1</v>
      </c>
      <c r="J291" s="70">
        <v>60</v>
      </c>
      <c r="K291" s="70">
        <v>391</v>
      </c>
      <c r="L291" s="70">
        <v>527</v>
      </c>
      <c r="M291" s="71">
        <v>0.85</v>
      </c>
    </row>
    <row r="292" spans="1:13" x14ac:dyDescent="0.2">
      <c r="A292" s="55" t="s">
        <v>230</v>
      </c>
      <c r="B292" s="55" t="s">
        <v>14</v>
      </c>
      <c r="C292" s="57" t="s">
        <v>171</v>
      </c>
      <c r="D292" s="55"/>
      <c r="E292" s="55" t="s">
        <v>230</v>
      </c>
      <c r="F292" s="56">
        <v>5314</v>
      </c>
      <c r="G292" s="56" t="s">
        <v>228</v>
      </c>
      <c r="H292" s="55" t="s">
        <v>57</v>
      </c>
      <c r="I292" s="65">
        <v>1</v>
      </c>
      <c r="J292" s="68">
        <v>40</v>
      </c>
      <c r="K292" s="68">
        <v>260</v>
      </c>
      <c r="L292" s="68">
        <v>351</v>
      </c>
      <c r="M292" s="69">
        <v>0.85</v>
      </c>
    </row>
    <row r="293" spans="1:13" x14ac:dyDescent="0.2">
      <c r="A293" s="57" t="s">
        <v>231</v>
      </c>
      <c r="B293" s="57" t="s">
        <v>14</v>
      </c>
      <c r="C293" s="57" t="s">
        <v>171</v>
      </c>
      <c r="D293" s="57"/>
      <c r="E293" s="57" t="s">
        <v>231</v>
      </c>
      <c r="F293" s="58">
        <v>5314</v>
      </c>
      <c r="G293" s="58" t="s">
        <v>228</v>
      </c>
      <c r="H293" s="57" t="s">
        <v>57</v>
      </c>
      <c r="I293" s="66">
        <v>4.29</v>
      </c>
      <c r="J293" s="70">
        <v>14</v>
      </c>
      <c r="K293" s="70">
        <v>93</v>
      </c>
      <c r="L293" s="70">
        <v>124</v>
      </c>
      <c r="M293" s="71">
        <v>0.85</v>
      </c>
    </row>
    <row r="294" spans="1:13" x14ac:dyDescent="0.2">
      <c r="A294" s="55" t="s">
        <v>232</v>
      </c>
      <c r="B294" s="55" t="s">
        <v>14</v>
      </c>
      <c r="C294" s="57" t="s">
        <v>171</v>
      </c>
      <c r="D294" s="55"/>
      <c r="E294" s="55" t="s">
        <v>232</v>
      </c>
      <c r="F294" s="56">
        <v>5314</v>
      </c>
      <c r="G294" s="56" t="s">
        <v>228</v>
      </c>
      <c r="H294" s="55" t="s">
        <v>57</v>
      </c>
      <c r="I294" s="65">
        <v>2.5</v>
      </c>
      <c r="J294" s="68">
        <v>24</v>
      </c>
      <c r="K294" s="68">
        <v>156</v>
      </c>
      <c r="L294" s="68">
        <v>210</v>
      </c>
      <c r="M294" s="69">
        <v>0.85</v>
      </c>
    </row>
    <row r="295" spans="1:13" x14ac:dyDescent="0.2">
      <c r="A295" s="57" t="s">
        <v>233</v>
      </c>
      <c r="B295" s="57" t="s">
        <v>14</v>
      </c>
      <c r="C295" s="57" t="s">
        <v>171</v>
      </c>
      <c r="D295" s="57"/>
      <c r="E295" s="57" t="s">
        <v>233</v>
      </c>
      <c r="F295" s="58">
        <v>6318</v>
      </c>
      <c r="G295" s="58" t="s">
        <v>198</v>
      </c>
      <c r="H295" s="57" t="s">
        <v>36</v>
      </c>
      <c r="I295" s="66">
        <v>6</v>
      </c>
      <c r="J295" s="70">
        <v>10</v>
      </c>
      <c r="K295" s="70">
        <v>65</v>
      </c>
      <c r="L295" s="70">
        <v>87</v>
      </c>
      <c r="M295" s="71">
        <v>0.85</v>
      </c>
    </row>
    <row r="296" spans="1:13" x14ac:dyDescent="0.2">
      <c r="A296" s="55" t="s">
        <v>233</v>
      </c>
      <c r="B296" s="55" t="s">
        <v>14</v>
      </c>
      <c r="C296" s="57" t="s">
        <v>171</v>
      </c>
      <c r="D296" s="55"/>
      <c r="E296" s="55" t="s">
        <v>233</v>
      </c>
      <c r="F296" s="56">
        <v>6319</v>
      </c>
      <c r="G296" s="56" t="s">
        <v>199</v>
      </c>
      <c r="H296" s="55" t="s">
        <v>36</v>
      </c>
      <c r="I296" s="65">
        <v>30</v>
      </c>
      <c r="J296" s="68">
        <v>2</v>
      </c>
      <c r="K296" s="68">
        <v>13</v>
      </c>
      <c r="L296" s="68">
        <v>17</v>
      </c>
      <c r="M296" s="69">
        <v>0.85</v>
      </c>
    </row>
    <row r="297" spans="1:13" x14ac:dyDescent="0.2">
      <c r="A297" s="57" t="s">
        <v>234</v>
      </c>
      <c r="B297" s="57" t="s">
        <v>14</v>
      </c>
      <c r="C297" s="57" t="s">
        <v>171</v>
      </c>
      <c r="D297" s="57"/>
      <c r="E297" s="57" t="s">
        <v>234</v>
      </c>
      <c r="F297" s="58">
        <v>6318</v>
      </c>
      <c r="G297" s="58" t="s">
        <v>198</v>
      </c>
      <c r="H297" s="57" t="s">
        <v>36</v>
      </c>
      <c r="I297" s="66">
        <v>30</v>
      </c>
      <c r="J297" s="70">
        <v>2</v>
      </c>
      <c r="K297" s="70">
        <v>13</v>
      </c>
      <c r="L297" s="70">
        <v>17</v>
      </c>
      <c r="M297" s="71">
        <v>0.85</v>
      </c>
    </row>
    <row r="298" spans="1:13" x14ac:dyDescent="0.2">
      <c r="A298" s="55" t="s">
        <v>234</v>
      </c>
      <c r="B298" s="55" t="s">
        <v>14</v>
      </c>
      <c r="C298" s="57" t="s">
        <v>171</v>
      </c>
      <c r="D298" s="55"/>
      <c r="E298" s="55" t="s">
        <v>234</v>
      </c>
      <c r="F298" s="56">
        <v>6319</v>
      </c>
      <c r="G298" s="56" t="s">
        <v>199</v>
      </c>
      <c r="H298" s="55" t="s">
        <v>36</v>
      </c>
      <c r="I298" s="65">
        <v>30</v>
      </c>
      <c r="J298" s="68">
        <v>2</v>
      </c>
      <c r="K298" s="68">
        <v>13</v>
      </c>
      <c r="L298" s="68">
        <v>17</v>
      </c>
      <c r="M298" s="69">
        <v>0.85</v>
      </c>
    </row>
    <row r="299" spans="1:13" x14ac:dyDescent="0.2">
      <c r="A299" s="57" t="s">
        <v>235</v>
      </c>
      <c r="B299" s="57" t="s">
        <v>14</v>
      </c>
      <c r="C299" s="57" t="s">
        <v>171</v>
      </c>
      <c r="D299" s="57"/>
      <c r="E299" s="57" t="s">
        <v>235</v>
      </c>
      <c r="F299" s="58">
        <v>6318</v>
      </c>
      <c r="G299" s="58" t="s">
        <v>198</v>
      </c>
      <c r="H299" s="57" t="s">
        <v>36</v>
      </c>
      <c r="I299" s="66">
        <v>30</v>
      </c>
      <c r="J299" s="70">
        <v>2</v>
      </c>
      <c r="K299" s="70">
        <v>13</v>
      </c>
      <c r="L299" s="70">
        <v>17</v>
      </c>
      <c r="M299" s="71">
        <v>0.85</v>
      </c>
    </row>
    <row r="300" spans="1:13" x14ac:dyDescent="0.2">
      <c r="A300" s="55" t="s">
        <v>235</v>
      </c>
      <c r="B300" s="55" t="s">
        <v>14</v>
      </c>
      <c r="C300" s="57" t="s">
        <v>171</v>
      </c>
      <c r="D300" s="55"/>
      <c r="E300" s="55" t="s">
        <v>235</v>
      </c>
      <c r="F300" s="56">
        <v>6319</v>
      </c>
      <c r="G300" s="56" t="s">
        <v>199</v>
      </c>
      <c r="H300" s="55" t="s">
        <v>36</v>
      </c>
      <c r="I300" s="65"/>
      <c r="J300" s="68" t="s">
        <v>80</v>
      </c>
      <c r="K300" s="68" t="s">
        <v>80</v>
      </c>
      <c r="L300" s="68" t="s">
        <v>80</v>
      </c>
      <c r="M300" s="69">
        <v>0.85</v>
      </c>
    </row>
    <row r="301" spans="1:13" x14ac:dyDescent="0.2">
      <c r="A301" s="57" t="s">
        <v>236</v>
      </c>
      <c r="B301" s="57" t="s">
        <v>14</v>
      </c>
      <c r="C301" s="57" t="s">
        <v>171</v>
      </c>
      <c r="D301" s="57"/>
      <c r="E301" s="57" t="s">
        <v>237</v>
      </c>
      <c r="F301" s="58">
        <v>6318</v>
      </c>
      <c r="G301" s="58" t="s">
        <v>198</v>
      </c>
      <c r="H301" s="57" t="s">
        <v>36</v>
      </c>
      <c r="I301" s="66">
        <v>20</v>
      </c>
      <c r="J301" s="70">
        <v>3</v>
      </c>
      <c r="K301" s="70">
        <v>19</v>
      </c>
      <c r="L301" s="70">
        <v>26</v>
      </c>
      <c r="M301" s="71">
        <v>0.85</v>
      </c>
    </row>
    <row r="302" spans="1:13" x14ac:dyDescent="0.2">
      <c r="A302" s="55" t="s">
        <v>236</v>
      </c>
      <c r="B302" s="55" t="s">
        <v>14</v>
      </c>
      <c r="C302" s="57" t="s">
        <v>171</v>
      </c>
      <c r="D302" s="55"/>
      <c r="E302" s="55" t="s">
        <v>237</v>
      </c>
      <c r="F302" s="56">
        <v>6319</v>
      </c>
      <c r="G302" s="56" t="s">
        <v>199</v>
      </c>
      <c r="H302" s="55" t="s">
        <v>36</v>
      </c>
      <c r="I302" s="65">
        <v>20</v>
      </c>
      <c r="J302" s="68">
        <v>3</v>
      </c>
      <c r="K302" s="68">
        <v>19</v>
      </c>
      <c r="L302" s="68">
        <v>26</v>
      </c>
      <c r="M302" s="69">
        <v>0.85</v>
      </c>
    </row>
    <row r="303" spans="1:13" x14ac:dyDescent="0.2">
      <c r="A303" s="57" t="s">
        <v>238</v>
      </c>
      <c r="B303" s="57" t="s">
        <v>14</v>
      </c>
      <c r="C303" s="57" t="s">
        <v>171</v>
      </c>
      <c r="D303" s="57"/>
      <c r="E303" s="57" t="s">
        <v>238</v>
      </c>
      <c r="F303" s="58">
        <v>5528</v>
      </c>
      <c r="G303" s="58" t="s">
        <v>239</v>
      </c>
      <c r="H303" s="57" t="s">
        <v>57</v>
      </c>
      <c r="I303" s="66">
        <v>15</v>
      </c>
      <c r="J303" s="70">
        <v>4</v>
      </c>
      <c r="K303" s="70">
        <v>26</v>
      </c>
      <c r="L303" s="70">
        <v>35</v>
      </c>
      <c r="M303" s="71">
        <v>0.85</v>
      </c>
    </row>
    <row r="304" spans="1:13" x14ac:dyDescent="0.2">
      <c r="A304" s="55" t="s">
        <v>238</v>
      </c>
      <c r="B304" s="55" t="s">
        <v>14</v>
      </c>
      <c r="C304" s="57" t="s">
        <v>171</v>
      </c>
      <c r="D304" s="55"/>
      <c r="E304" s="55" t="s">
        <v>238</v>
      </c>
      <c r="F304" s="56">
        <v>5534</v>
      </c>
      <c r="G304" s="56" t="s">
        <v>185</v>
      </c>
      <c r="H304" s="55" t="s">
        <v>186</v>
      </c>
      <c r="I304" s="65">
        <v>15</v>
      </c>
      <c r="J304" s="68">
        <v>4</v>
      </c>
      <c r="K304" s="68">
        <v>26</v>
      </c>
      <c r="L304" s="68">
        <v>35</v>
      </c>
      <c r="M304" s="69">
        <v>0.85</v>
      </c>
    </row>
    <row r="305" spans="1:13" x14ac:dyDescent="0.2">
      <c r="A305" s="57" t="s">
        <v>238</v>
      </c>
      <c r="B305" s="57" t="s">
        <v>14</v>
      </c>
      <c r="C305" s="57" t="s">
        <v>171</v>
      </c>
      <c r="D305" s="57"/>
      <c r="E305" s="57" t="s">
        <v>238</v>
      </c>
      <c r="F305" s="58">
        <v>5829</v>
      </c>
      <c r="G305" s="58" t="s">
        <v>187</v>
      </c>
      <c r="H305" s="57" t="s">
        <v>186</v>
      </c>
      <c r="I305" s="66">
        <v>15</v>
      </c>
      <c r="J305" s="70">
        <v>4</v>
      </c>
      <c r="K305" s="70">
        <v>26</v>
      </c>
      <c r="L305" s="70">
        <v>35</v>
      </c>
      <c r="M305" s="71">
        <v>0.85</v>
      </c>
    </row>
    <row r="306" spans="1:13" x14ac:dyDescent="0.2">
      <c r="A306" s="55" t="s">
        <v>238</v>
      </c>
      <c r="B306" s="55" t="s">
        <v>14</v>
      </c>
      <c r="C306" s="57" t="s">
        <v>171</v>
      </c>
      <c r="D306" s="55"/>
      <c r="E306" s="55" t="s">
        <v>238</v>
      </c>
      <c r="F306" s="56">
        <v>5830</v>
      </c>
      <c r="G306" s="56" t="s">
        <v>188</v>
      </c>
      <c r="H306" s="55" t="s">
        <v>186</v>
      </c>
      <c r="I306" s="65">
        <v>15</v>
      </c>
      <c r="J306" s="68">
        <v>4</v>
      </c>
      <c r="K306" s="68">
        <v>26</v>
      </c>
      <c r="L306" s="68">
        <v>35</v>
      </c>
      <c r="M306" s="69">
        <v>0.85</v>
      </c>
    </row>
    <row r="307" spans="1:13" x14ac:dyDescent="0.2">
      <c r="A307" s="57" t="s">
        <v>238</v>
      </c>
      <c r="B307" s="57" t="s">
        <v>14</v>
      </c>
      <c r="C307" s="57" t="s">
        <v>171</v>
      </c>
      <c r="D307" s="57"/>
      <c r="E307" s="57" t="s">
        <v>238</v>
      </c>
      <c r="F307" s="58">
        <v>5831</v>
      </c>
      <c r="G307" s="58" t="s">
        <v>189</v>
      </c>
      <c r="H307" s="57" t="s">
        <v>186</v>
      </c>
      <c r="I307" s="66">
        <v>15</v>
      </c>
      <c r="J307" s="70">
        <v>4</v>
      </c>
      <c r="K307" s="70">
        <v>26</v>
      </c>
      <c r="L307" s="70">
        <v>35</v>
      </c>
      <c r="M307" s="71">
        <v>0.85</v>
      </c>
    </row>
    <row r="308" spans="1:13" x14ac:dyDescent="0.2">
      <c r="A308" s="55" t="s">
        <v>238</v>
      </c>
      <c r="B308" s="55" t="s">
        <v>14</v>
      </c>
      <c r="C308" s="57" t="s">
        <v>171</v>
      </c>
      <c r="D308" s="55"/>
      <c r="E308" s="55" t="s">
        <v>238</v>
      </c>
      <c r="F308" s="56">
        <v>5832</v>
      </c>
      <c r="G308" s="56" t="s">
        <v>190</v>
      </c>
      <c r="H308" s="55" t="s">
        <v>186</v>
      </c>
      <c r="I308" s="65">
        <v>15</v>
      </c>
      <c r="J308" s="68">
        <v>4</v>
      </c>
      <c r="K308" s="68">
        <v>26</v>
      </c>
      <c r="L308" s="68">
        <v>35</v>
      </c>
      <c r="M308" s="69">
        <v>0.85</v>
      </c>
    </row>
    <row r="309" spans="1:13" x14ac:dyDescent="0.2">
      <c r="A309" s="57" t="s">
        <v>238</v>
      </c>
      <c r="B309" s="57" t="s">
        <v>14</v>
      </c>
      <c r="C309" s="57" t="s">
        <v>171</v>
      </c>
      <c r="D309" s="57"/>
      <c r="E309" s="57" t="s">
        <v>238</v>
      </c>
      <c r="F309" s="58">
        <v>6512</v>
      </c>
      <c r="G309" s="58" t="s">
        <v>191</v>
      </c>
      <c r="H309" s="57" t="s">
        <v>186</v>
      </c>
      <c r="I309" s="66">
        <v>15</v>
      </c>
      <c r="J309" s="70">
        <v>4</v>
      </c>
      <c r="K309" s="70">
        <v>26</v>
      </c>
      <c r="L309" s="70">
        <v>35</v>
      </c>
      <c r="M309" s="71">
        <v>0.85</v>
      </c>
    </row>
    <row r="310" spans="1:13" x14ac:dyDescent="0.2">
      <c r="A310" s="55" t="s">
        <v>238</v>
      </c>
      <c r="B310" s="55" t="s">
        <v>14</v>
      </c>
      <c r="C310" s="57" t="s">
        <v>171</v>
      </c>
      <c r="D310" s="55"/>
      <c r="E310" s="55" t="s">
        <v>238</v>
      </c>
      <c r="F310" s="56">
        <v>6513</v>
      </c>
      <c r="G310" s="56" t="s">
        <v>192</v>
      </c>
      <c r="H310" s="55" t="s">
        <v>186</v>
      </c>
      <c r="I310" s="65">
        <v>15</v>
      </c>
      <c r="J310" s="68">
        <v>4</v>
      </c>
      <c r="K310" s="68">
        <v>26</v>
      </c>
      <c r="L310" s="68">
        <v>35</v>
      </c>
      <c r="M310" s="69">
        <v>0.85</v>
      </c>
    </row>
    <row r="311" spans="1:13" x14ac:dyDescent="0.2">
      <c r="A311" s="57" t="s">
        <v>240</v>
      </c>
      <c r="B311" s="57" t="s">
        <v>14</v>
      </c>
      <c r="C311" s="57" t="s">
        <v>171</v>
      </c>
      <c r="D311" s="57"/>
      <c r="E311" s="57" t="s">
        <v>241</v>
      </c>
      <c r="F311" s="58">
        <v>6314</v>
      </c>
      <c r="G311" s="58" t="s">
        <v>193</v>
      </c>
      <c r="H311" s="57" t="s">
        <v>36</v>
      </c>
      <c r="I311" s="66">
        <v>4.5</v>
      </c>
      <c r="J311" s="70">
        <v>13</v>
      </c>
      <c r="K311" s="70">
        <v>86</v>
      </c>
      <c r="L311" s="70">
        <v>117</v>
      </c>
      <c r="M311" s="71">
        <v>0.85</v>
      </c>
    </row>
    <row r="312" spans="1:13" x14ac:dyDescent="0.2">
      <c r="A312" s="55" t="s">
        <v>242</v>
      </c>
      <c r="B312" s="55" t="s">
        <v>14</v>
      </c>
      <c r="C312" s="57" t="s">
        <v>171</v>
      </c>
      <c r="D312" s="55"/>
      <c r="E312" s="55" t="s">
        <v>242</v>
      </c>
      <c r="F312" s="56">
        <v>6318</v>
      </c>
      <c r="G312" s="56" t="s">
        <v>198</v>
      </c>
      <c r="H312" s="55" t="s">
        <v>36</v>
      </c>
      <c r="I312" s="65"/>
      <c r="J312" s="68" t="s">
        <v>80</v>
      </c>
      <c r="K312" s="68" t="s">
        <v>80</v>
      </c>
      <c r="L312" s="68" t="s">
        <v>80</v>
      </c>
      <c r="M312" s="69">
        <v>0.85</v>
      </c>
    </row>
    <row r="313" spans="1:13" x14ac:dyDescent="0.2">
      <c r="A313" s="57" t="s">
        <v>242</v>
      </c>
      <c r="B313" s="57" t="s">
        <v>14</v>
      </c>
      <c r="C313" s="57" t="s">
        <v>171</v>
      </c>
      <c r="D313" s="57"/>
      <c r="E313" s="57" t="s">
        <v>242</v>
      </c>
      <c r="F313" s="58">
        <v>6319</v>
      </c>
      <c r="G313" s="58" t="s">
        <v>199</v>
      </c>
      <c r="H313" s="57" t="s">
        <v>36</v>
      </c>
      <c r="I313" s="66"/>
      <c r="J313" s="70" t="s">
        <v>80</v>
      </c>
      <c r="K313" s="70" t="s">
        <v>80</v>
      </c>
      <c r="L313" s="70" t="s">
        <v>80</v>
      </c>
      <c r="M313" s="71">
        <v>0.85</v>
      </c>
    </row>
  </sheetData>
  <autoFilter ref="A2:M313" xr:uid="{00000000-0001-0000-0000-000000000000}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26"/>
  <sheetViews>
    <sheetView showGridLines="0" tabSelected="1" zoomScale="59" zoomScaleNormal="59" workbookViewId="0">
      <pane xSplit="5" ySplit="2" topLeftCell="Q3" activePane="bottomRight" state="frozen"/>
      <selection activeCell="C17" sqref="C17"/>
      <selection pane="topRight" activeCell="C17" sqref="C17"/>
      <selection pane="bottomLeft" activeCell="C17" sqref="C17"/>
      <selection pane="bottomRight" activeCell="AK32" sqref="AK32"/>
    </sheetView>
  </sheetViews>
  <sheetFormatPr defaultRowHeight="14.25" x14ac:dyDescent="0.2"/>
  <cols>
    <col min="2" max="2" width="13.625" style="3" customWidth="1"/>
    <col min="3" max="3" width="9" style="3" customWidth="1"/>
    <col min="4" max="4" width="50.25" customWidth="1"/>
    <col min="5" max="5" width="10" style="4" hidden="1" customWidth="1"/>
    <col min="6" max="6" width="9" style="49" hidden="1" customWidth="1"/>
    <col min="7" max="16" width="8.25" style="6" hidden="1" customWidth="1"/>
    <col min="17" max="20" width="8.25" customWidth="1"/>
    <col min="21" max="21" width="9.25" bestFit="1" customWidth="1"/>
    <col min="22" max="25" width="8.25" customWidth="1"/>
    <col min="26" max="27" width="9.375" bestFit="1" customWidth="1"/>
    <col min="30" max="31" width="10.375" customWidth="1"/>
  </cols>
  <sheetData>
    <row r="1" spans="1:43" x14ac:dyDescent="0.2">
      <c r="A1" t="str">
        <f>'[3]Forecast (pcs.)'!$A$1</f>
        <v>update 17.3.29</v>
      </c>
      <c r="F1" s="5" t="s">
        <v>243</v>
      </c>
      <c r="G1" s="6" t="s">
        <v>243</v>
      </c>
      <c r="H1" s="6" t="s">
        <v>243</v>
      </c>
      <c r="I1" s="6" t="s">
        <v>243</v>
      </c>
      <c r="J1" s="6" t="s">
        <v>243</v>
      </c>
      <c r="K1" s="6" t="s">
        <v>243</v>
      </c>
      <c r="L1" s="6" t="s">
        <v>243</v>
      </c>
      <c r="M1" s="6" t="s">
        <v>243</v>
      </c>
      <c r="N1" s="6" t="s">
        <v>243</v>
      </c>
      <c r="O1" s="6" t="s">
        <v>243</v>
      </c>
      <c r="P1" s="6" t="s">
        <v>243</v>
      </c>
      <c r="Q1" s="7">
        <v>1.6977855664378689</v>
      </c>
      <c r="R1" s="7">
        <v>1.333925422117247</v>
      </c>
      <c r="S1" s="7">
        <v>1.395836090339196</v>
      </c>
      <c r="T1" s="8">
        <v>0.83832329486057666</v>
      </c>
      <c r="U1" s="8">
        <v>1.2180857201105599</v>
      </c>
      <c r="V1" s="8">
        <v>0.99933744096233645</v>
      </c>
      <c r="W1" s="8">
        <v>0.99835723847794189</v>
      </c>
      <c r="X1" s="8">
        <v>0.99199024825644955</v>
      </c>
      <c r="Y1" s="8">
        <v>0.95051266418220337</v>
      </c>
      <c r="Z1" s="8">
        <v>1.0097625848475129</v>
      </c>
      <c r="AA1" s="8">
        <v>1.14924931436338</v>
      </c>
      <c r="AB1" s="8">
        <v>0.9007905089101772</v>
      </c>
      <c r="AD1" s="3" t="s">
        <v>244</v>
      </c>
    </row>
    <row r="2" spans="1:43" ht="15" customHeight="1" x14ac:dyDescent="0.25">
      <c r="A2" s="2"/>
      <c r="B2" s="9" t="s">
        <v>7</v>
      </c>
      <c r="C2" s="9" t="s">
        <v>245</v>
      </c>
      <c r="D2" s="9" t="s">
        <v>246</v>
      </c>
      <c r="E2" s="10" t="s">
        <v>247</v>
      </c>
      <c r="F2" s="11" t="s">
        <v>248</v>
      </c>
      <c r="G2" s="11" t="s">
        <v>249</v>
      </c>
      <c r="H2" s="11" t="s">
        <v>250</v>
      </c>
      <c r="I2" s="11" t="s">
        <v>251</v>
      </c>
      <c r="J2" s="11" t="s">
        <v>252</v>
      </c>
      <c r="K2" s="11" t="s">
        <v>253</v>
      </c>
      <c r="L2" s="11" t="s">
        <v>254</v>
      </c>
      <c r="M2" s="11" t="s">
        <v>255</v>
      </c>
      <c r="N2" s="11" t="s">
        <v>256</v>
      </c>
      <c r="O2" s="11" t="s">
        <v>257</v>
      </c>
      <c r="P2" s="11" t="s">
        <v>258</v>
      </c>
      <c r="Q2" s="12" t="s">
        <v>259</v>
      </c>
      <c r="R2" s="12" t="s">
        <v>260</v>
      </c>
      <c r="S2" s="12" t="s">
        <v>261</v>
      </c>
      <c r="T2" s="12" t="s">
        <v>262</v>
      </c>
      <c r="U2" s="12" t="s">
        <v>263</v>
      </c>
      <c r="V2" s="13" t="s">
        <v>264</v>
      </c>
      <c r="W2" s="13" t="s">
        <v>265</v>
      </c>
      <c r="X2" s="13" t="s">
        <v>266</v>
      </c>
      <c r="Y2" s="13" t="s">
        <v>267</v>
      </c>
      <c r="Z2" s="13" t="s">
        <v>268</v>
      </c>
      <c r="AA2" s="13" t="s">
        <v>269</v>
      </c>
      <c r="AB2" s="13" t="s">
        <v>270</v>
      </c>
      <c r="AD2" s="14" t="s">
        <v>271</v>
      </c>
      <c r="AE2" s="3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pans="1:43" ht="15" customHeight="1" x14ac:dyDescent="0.25">
      <c r="A3" s="2">
        <v>5520</v>
      </c>
      <c r="B3" s="15" t="s">
        <v>272</v>
      </c>
      <c r="C3" s="15">
        <v>5520</v>
      </c>
      <c r="D3" s="16" t="s">
        <v>273</v>
      </c>
      <c r="E3" s="17">
        <v>29.95</v>
      </c>
      <c r="F3" s="18">
        <v>0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53">
        <f>'[3]Forecast (pcs.)'!Q3</f>
        <v>0</v>
      </c>
      <c r="R3" s="53">
        <f>'[3]Forecast (pcs.)'!R3</f>
        <v>0</v>
      </c>
      <c r="S3" s="53">
        <f>'[3]Forecast (pcs.)'!S3</f>
        <v>0</v>
      </c>
      <c r="T3" s="53">
        <f>'[3]Forecast (pcs.)'!T3</f>
        <v>0</v>
      </c>
      <c r="U3" s="53">
        <f>'[3]Forecast (pcs.)'!U3</f>
        <v>0</v>
      </c>
      <c r="V3" s="53">
        <f>'[3]Forecast (pcs.)'!V3</f>
        <v>0</v>
      </c>
      <c r="W3" s="53">
        <f>'[3]Forecast (pcs.)'!W3</f>
        <v>0</v>
      </c>
      <c r="X3" s="53">
        <f>'[3]Forecast (pcs.)'!X3</f>
        <v>0</v>
      </c>
      <c r="Y3" s="53">
        <f>'[3]Forecast (pcs.)'!Y3</f>
        <v>0</v>
      </c>
      <c r="Z3" s="53">
        <f>'[3]Forecast (pcs.)'!Z3</f>
        <v>0</v>
      </c>
      <c r="AA3" s="53">
        <f>'[3]Forecast (pcs.)'!AA3</f>
        <v>0</v>
      </c>
      <c r="AB3" s="53">
        <f>'[3]Forecast (pcs.)'!AB3</f>
        <v>0</v>
      </c>
    </row>
    <row r="4" spans="1:43" ht="15" customHeight="1" x14ac:dyDescent="0.25">
      <c r="A4" s="2">
        <v>5537</v>
      </c>
      <c r="B4" s="15" t="s">
        <v>274</v>
      </c>
      <c r="C4" s="20">
        <v>5537</v>
      </c>
      <c r="D4" s="16" t="s">
        <v>275</v>
      </c>
      <c r="E4" s="17">
        <v>535.33000000000004</v>
      </c>
      <c r="F4" s="18">
        <v>1824</v>
      </c>
      <c r="G4" s="21">
        <v>1848</v>
      </c>
      <c r="H4" s="6">
        <v>48</v>
      </c>
      <c r="I4" s="22">
        <v>192</v>
      </c>
      <c r="J4" s="22">
        <v>216</v>
      </c>
      <c r="K4" s="22">
        <v>336</v>
      </c>
      <c r="L4" s="22">
        <v>724</v>
      </c>
      <c r="M4" s="22">
        <v>744</v>
      </c>
      <c r="N4" s="22">
        <v>624</v>
      </c>
      <c r="O4" s="22">
        <v>792</v>
      </c>
      <c r="P4" s="22">
        <v>672</v>
      </c>
      <c r="Q4" s="53">
        <f>'[3]Forecast (pcs.)'!Q4</f>
        <v>720</v>
      </c>
      <c r="R4" s="53">
        <f>'[3]Forecast (pcs.)'!R4</f>
        <v>648</v>
      </c>
      <c r="S4" s="53">
        <f>'[3]Forecast (pcs.)'!S4</f>
        <v>696</v>
      </c>
      <c r="T4" s="53">
        <f>'[3]Forecast (pcs.)'!T4</f>
        <v>720</v>
      </c>
      <c r="U4" s="53">
        <f>'[3]Forecast (pcs.)'!U4</f>
        <v>840</v>
      </c>
      <c r="V4" s="53">
        <f>'[3]Forecast (pcs.)'!V4</f>
        <v>720</v>
      </c>
      <c r="W4" s="53">
        <f>'[3]Forecast (pcs.)'!W4</f>
        <v>984</v>
      </c>
      <c r="X4" s="53">
        <f>'[3]Forecast (pcs.)'!X4</f>
        <v>1008</v>
      </c>
      <c r="Y4" s="53">
        <f>'[3]Forecast (pcs.)'!Y4</f>
        <v>984</v>
      </c>
      <c r="Z4" s="53">
        <f>'[3]Forecast (pcs.)'!Z4</f>
        <v>864</v>
      </c>
      <c r="AA4" s="53">
        <f>'[3]Forecast (pcs.)'!AA4</f>
        <v>936</v>
      </c>
      <c r="AB4" s="53">
        <f>'[3]Forecast (pcs.)'!AB4</f>
        <v>1128</v>
      </c>
      <c r="AD4" s="6">
        <f t="shared" ref="AD4:AD19" si="0">AVERAGE(Q4:AB4)</f>
        <v>854</v>
      </c>
      <c r="AE4" s="6"/>
    </row>
    <row r="5" spans="1:43" ht="15" customHeight="1" x14ac:dyDescent="0.25">
      <c r="A5" s="2">
        <v>5605</v>
      </c>
      <c r="B5" s="15" t="s">
        <v>274</v>
      </c>
      <c r="C5" s="20">
        <v>5605</v>
      </c>
      <c r="D5" s="16" t="s">
        <v>276</v>
      </c>
      <c r="E5" s="17">
        <v>67.459999999999994</v>
      </c>
      <c r="F5" s="18">
        <v>659</v>
      </c>
      <c r="G5" s="21">
        <v>602</v>
      </c>
      <c r="H5" s="6">
        <v>224</v>
      </c>
      <c r="I5" s="22">
        <v>487</v>
      </c>
      <c r="J5" s="22">
        <v>241</v>
      </c>
      <c r="K5" s="22">
        <v>279</v>
      </c>
      <c r="L5" s="22">
        <v>637</v>
      </c>
      <c r="M5" s="22">
        <v>586</v>
      </c>
      <c r="N5" s="22">
        <v>512</v>
      </c>
      <c r="O5" s="22">
        <v>440</v>
      </c>
      <c r="P5" s="22">
        <v>346</v>
      </c>
      <c r="Q5" s="53">
        <f>'[3]Forecast (pcs.)'!Q5</f>
        <v>664</v>
      </c>
      <c r="R5" s="53">
        <f>'[3]Forecast (pcs.)'!R5</f>
        <v>512</v>
      </c>
      <c r="S5" s="53">
        <f>'[3]Forecast (pcs.)'!S5</f>
        <v>765</v>
      </c>
      <c r="T5" s="53">
        <f>'[3]Forecast (pcs.)'!T5</f>
        <v>1056</v>
      </c>
      <c r="U5" s="53">
        <f>'[3]Forecast (pcs.)'!U5</f>
        <v>1536</v>
      </c>
      <c r="V5" s="53">
        <f>'[3]Forecast (pcs.)'!V5</f>
        <v>624</v>
      </c>
      <c r="W5" s="53">
        <f>'[3]Forecast (pcs.)'!W5</f>
        <v>408</v>
      </c>
      <c r="X5" s="53">
        <f>'[3]Forecast (pcs.)'!X5</f>
        <v>528</v>
      </c>
      <c r="Y5" s="53">
        <f>'[3]Forecast (pcs.)'!Y5</f>
        <v>600</v>
      </c>
      <c r="Z5" s="53">
        <f>'[3]Forecast (pcs.)'!Z5</f>
        <v>504</v>
      </c>
      <c r="AA5" s="53">
        <f>'[3]Forecast (pcs.)'!AA5</f>
        <v>576</v>
      </c>
      <c r="AB5" s="53">
        <f>'[3]Forecast (pcs.)'!AB5</f>
        <v>504</v>
      </c>
      <c r="AD5" s="6">
        <f t="shared" si="0"/>
        <v>689.75</v>
      </c>
      <c r="AE5" s="6"/>
    </row>
    <row r="6" spans="1:43" ht="15" customHeight="1" x14ac:dyDescent="0.25">
      <c r="A6" s="2">
        <v>5606</v>
      </c>
      <c r="B6" s="15" t="s">
        <v>274</v>
      </c>
      <c r="C6" s="20">
        <v>5606</v>
      </c>
      <c r="D6" s="16" t="s">
        <v>277</v>
      </c>
      <c r="E6" s="17">
        <v>75.23</v>
      </c>
      <c r="F6" s="18">
        <v>649</v>
      </c>
      <c r="G6" s="21">
        <v>408</v>
      </c>
      <c r="H6" s="6">
        <v>174</v>
      </c>
      <c r="I6" s="22">
        <v>249</v>
      </c>
      <c r="J6" s="22">
        <v>240</v>
      </c>
      <c r="K6" s="22">
        <v>277</v>
      </c>
      <c r="L6" s="22">
        <v>340</v>
      </c>
      <c r="M6" s="22">
        <v>392</v>
      </c>
      <c r="N6" s="22">
        <v>320</v>
      </c>
      <c r="O6" s="22">
        <v>219</v>
      </c>
      <c r="P6" s="22">
        <v>346</v>
      </c>
      <c r="Q6" s="53">
        <f>'[3]Forecast (pcs.)'!Q6</f>
        <v>414</v>
      </c>
      <c r="R6" s="53">
        <f>'[3]Forecast (pcs.)'!R6</f>
        <v>229</v>
      </c>
      <c r="S6" s="53">
        <f>'[3]Forecast (pcs.)'!S6</f>
        <v>468</v>
      </c>
      <c r="T6" s="53">
        <f>'[3]Forecast (pcs.)'!T6</f>
        <v>240</v>
      </c>
      <c r="U6" s="53">
        <f>'[3]Forecast (pcs.)'!U6</f>
        <v>336</v>
      </c>
      <c r="V6" s="53">
        <f>'[3]Forecast (pcs.)'!V6</f>
        <v>144</v>
      </c>
      <c r="W6" s="53">
        <f>'[3]Forecast (pcs.)'!W6</f>
        <v>264</v>
      </c>
      <c r="X6" s="53">
        <f>'[3]Forecast (pcs.)'!X6</f>
        <v>288</v>
      </c>
      <c r="Y6" s="53">
        <f>'[3]Forecast (pcs.)'!Y6</f>
        <v>312</v>
      </c>
      <c r="Z6" s="53">
        <f>'[3]Forecast (pcs.)'!Z6</f>
        <v>264</v>
      </c>
      <c r="AA6" s="53">
        <f>'[3]Forecast (pcs.)'!AA6</f>
        <v>288</v>
      </c>
      <c r="AB6" s="53">
        <f>'[3]Forecast (pcs.)'!AB6</f>
        <v>264</v>
      </c>
      <c r="AD6" s="6">
        <f t="shared" si="0"/>
        <v>292.58333333333331</v>
      </c>
      <c r="AE6" s="6"/>
    </row>
    <row r="7" spans="1:43" ht="15" customHeight="1" x14ac:dyDescent="0.25">
      <c r="A7" s="2">
        <v>5607</v>
      </c>
      <c r="B7" s="15" t="s">
        <v>274</v>
      </c>
      <c r="C7" s="20">
        <v>5607</v>
      </c>
      <c r="D7" s="16" t="s">
        <v>278</v>
      </c>
      <c r="E7" s="17">
        <v>83.31</v>
      </c>
      <c r="F7" s="18">
        <v>528</v>
      </c>
      <c r="G7" s="21">
        <v>288</v>
      </c>
      <c r="H7" s="6">
        <v>96</v>
      </c>
      <c r="I7" s="22">
        <v>144</v>
      </c>
      <c r="J7" s="22">
        <v>96</v>
      </c>
      <c r="K7" s="22">
        <v>195</v>
      </c>
      <c r="L7" s="22">
        <v>144</v>
      </c>
      <c r="M7" s="22">
        <v>9</v>
      </c>
      <c r="N7" s="22">
        <v>145</v>
      </c>
      <c r="O7" s="22">
        <v>244</v>
      </c>
      <c r="P7" s="22">
        <v>290</v>
      </c>
      <c r="Q7" s="53">
        <f>'[3]Forecast (pcs.)'!Q7</f>
        <v>199</v>
      </c>
      <c r="R7" s="53">
        <f>'[3]Forecast (pcs.)'!R7</f>
        <v>245</v>
      </c>
      <c r="S7" s="53">
        <f>'[3]Forecast (pcs.)'!S7</f>
        <v>151</v>
      </c>
      <c r="T7" s="53">
        <f>'[3]Forecast (pcs.)'!T7</f>
        <v>192</v>
      </c>
      <c r="U7" s="53">
        <f>'[3]Forecast (pcs.)'!U7</f>
        <v>192</v>
      </c>
      <c r="V7" s="53">
        <f>'[3]Forecast (pcs.)'!V7</f>
        <v>192</v>
      </c>
      <c r="W7" s="53">
        <f>'[3]Forecast (pcs.)'!W7</f>
        <v>192</v>
      </c>
      <c r="X7" s="53">
        <f>'[3]Forecast (pcs.)'!X7</f>
        <v>192</v>
      </c>
      <c r="Y7" s="53">
        <f>'[3]Forecast (pcs.)'!Y7</f>
        <v>240</v>
      </c>
      <c r="Z7" s="53">
        <f>'[3]Forecast (pcs.)'!Z7</f>
        <v>192</v>
      </c>
      <c r="AA7" s="53">
        <f>'[3]Forecast (pcs.)'!AA7</f>
        <v>192</v>
      </c>
      <c r="AB7" s="53">
        <f>'[3]Forecast (pcs.)'!AB7</f>
        <v>192</v>
      </c>
      <c r="AD7" s="6">
        <f t="shared" si="0"/>
        <v>197.58333333333334</v>
      </c>
      <c r="AE7" s="6"/>
    </row>
    <row r="8" spans="1:43" ht="15" customHeight="1" x14ac:dyDescent="0.25">
      <c r="A8" s="2">
        <v>5608</v>
      </c>
      <c r="B8" s="15" t="s">
        <v>274</v>
      </c>
      <c r="C8" s="20">
        <v>5608</v>
      </c>
      <c r="D8" s="16" t="s">
        <v>279</v>
      </c>
      <c r="E8" s="17">
        <v>123.82</v>
      </c>
      <c r="F8" s="18">
        <v>1296</v>
      </c>
      <c r="G8" s="21">
        <v>816</v>
      </c>
      <c r="H8" s="6">
        <v>336</v>
      </c>
      <c r="I8" s="22">
        <v>480</v>
      </c>
      <c r="J8" s="22">
        <v>480</v>
      </c>
      <c r="K8" s="22">
        <v>528</v>
      </c>
      <c r="L8" s="22">
        <v>672</v>
      </c>
      <c r="M8" s="22">
        <v>768</v>
      </c>
      <c r="N8" s="22">
        <v>624</v>
      </c>
      <c r="O8" s="22">
        <v>432</v>
      </c>
      <c r="P8" s="22">
        <v>672</v>
      </c>
      <c r="Q8" s="53">
        <f>'[3]Forecast (pcs.)'!Q8</f>
        <v>820</v>
      </c>
      <c r="R8" s="53">
        <f>'[3]Forecast (pcs.)'!R8</f>
        <v>433</v>
      </c>
      <c r="S8" s="53">
        <f>'[3]Forecast (pcs.)'!S8</f>
        <v>912</v>
      </c>
      <c r="T8" s="53">
        <f>'[3]Forecast (pcs.)'!T8</f>
        <v>480</v>
      </c>
      <c r="U8" s="53">
        <f>'[3]Forecast (pcs.)'!U8</f>
        <v>672</v>
      </c>
      <c r="V8" s="53">
        <f>'[3]Forecast (pcs.)'!V8</f>
        <v>288</v>
      </c>
      <c r="W8" s="53">
        <f>'[3]Forecast (pcs.)'!W8</f>
        <v>528</v>
      </c>
      <c r="X8" s="53">
        <f>'[3]Forecast (pcs.)'!X8</f>
        <v>576</v>
      </c>
      <c r="Y8" s="53">
        <f>'[3]Forecast (pcs.)'!Y8</f>
        <v>624</v>
      </c>
      <c r="Z8" s="53">
        <f>'[3]Forecast (pcs.)'!Z8</f>
        <v>528</v>
      </c>
      <c r="AA8" s="53">
        <f>'[3]Forecast (pcs.)'!AA8</f>
        <v>576</v>
      </c>
      <c r="AB8" s="53">
        <f>'[3]Forecast (pcs.)'!AB8</f>
        <v>528</v>
      </c>
      <c r="AD8" s="6">
        <f t="shared" si="0"/>
        <v>580.41666666666663</v>
      </c>
      <c r="AE8" s="6"/>
    </row>
    <row r="9" spans="1:43" ht="15" customHeight="1" x14ac:dyDescent="0.25">
      <c r="A9" s="2">
        <v>5609</v>
      </c>
      <c r="B9" s="15" t="s">
        <v>274</v>
      </c>
      <c r="C9" s="20">
        <v>5609</v>
      </c>
      <c r="D9" s="16" t="s">
        <v>280</v>
      </c>
      <c r="E9" s="17">
        <v>143.36000000000001</v>
      </c>
      <c r="F9" s="18">
        <v>0</v>
      </c>
      <c r="G9" s="21">
        <v>0</v>
      </c>
      <c r="H9" s="6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53">
        <f>'[3]Forecast (pcs.)'!Q9</f>
        <v>0</v>
      </c>
      <c r="R9" s="53">
        <f>'[3]Forecast (pcs.)'!R9</f>
        <v>0</v>
      </c>
      <c r="S9" s="53">
        <f>'[3]Forecast (pcs.)'!S9</f>
        <v>0</v>
      </c>
      <c r="T9" s="53">
        <f>'[3]Forecast (pcs.)'!T9</f>
        <v>0</v>
      </c>
      <c r="U9" s="53">
        <f>'[3]Forecast (pcs.)'!U9</f>
        <v>0</v>
      </c>
      <c r="V9" s="53">
        <f>'[3]Forecast (pcs.)'!V9</f>
        <v>0</v>
      </c>
      <c r="W9" s="53">
        <f>'[3]Forecast (pcs.)'!W9</f>
        <v>0</v>
      </c>
      <c r="X9" s="53">
        <f>'[3]Forecast (pcs.)'!X9</f>
        <v>0</v>
      </c>
      <c r="Y9" s="53">
        <f>'[3]Forecast (pcs.)'!Y9</f>
        <v>0</v>
      </c>
      <c r="Z9" s="53">
        <f>'[3]Forecast (pcs.)'!Z9</f>
        <v>0</v>
      </c>
      <c r="AA9" s="53">
        <f>'[3]Forecast (pcs.)'!AA9</f>
        <v>0</v>
      </c>
      <c r="AB9" s="53">
        <f>'[3]Forecast (pcs.)'!AB9</f>
        <v>0</v>
      </c>
      <c r="AD9" s="6">
        <f t="shared" si="0"/>
        <v>0</v>
      </c>
      <c r="AE9" s="6"/>
    </row>
    <row r="10" spans="1:43" ht="15" customHeight="1" x14ac:dyDescent="0.25">
      <c r="A10" s="2">
        <v>5610</v>
      </c>
      <c r="B10" s="15" t="s">
        <v>274</v>
      </c>
      <c r="C10" s="20">
        <v>5610</v>
      </c>
      <c r="D10" s="16" t="s">
        <v>281</v>
      </c>
      <c r="E10" s="17">
        <v>160.33000000000001</v>
      </c>
      <c r="F10" s="18">
        <v>288</v>
      </c>
      <c r="G10" s="21">
        <v>193</v>
      </c>
      <c r="H10" s="6">
        <v>48</v>
      </c>
      <c r="I10" s="22">
        <v>52</v>
      </c>
      <c r="J10" s="22">
        <v>0</v>
      </c>
      <c r="K10" s="22">
        <v>96</v>
      </c>
      <c r="L10" s="22">
        <v>0</v>
      </c>
      <c r="M10" s="22">
        <v>0</v>
      </c>
      <c r="N10" s="22">
        <v>0</v>
      </c>
      <c r="O10" s="22">
        <v>0</v>
      </c>
      <c r="P10" s="22">
        <v>13</v>
      </c>
      <c r="Q10" s="53">
        <f>'[3]Forecast (pcs.)'!Q10</f>
        <v>48</v>
      </c>
      <c r="R10" s="53">
        <f>'[3]Forecast (pcs.)'!R10</f>
        <v>96</v>
      </c>
      <c r="S10" s="53">
        <f>'[3]Forecast (pcs.)'!S10</f>
        <v>0</v>
      </c>
      <c r="T10" s="53">
        <f>'[3]Forecast (pcs.)'!T10</f>
        <v>96</v>
      </c>
      <c r="U10" s="53">
        <f>'[3]Forecast (pcs.)'!U10</f>
        <v>96</v>
      </c>
      <c r="V10" s="53">
        <f>'[3]Forecast (pcs.)'!V10</f>
        <v>96</v>
      </c>
      <c r="W10" s="53">
        <f>'[3]Forecast (pcs.)'!W10</f>
        <v>48</v>
      </c>
      <c r="X10" s="53">
        <f>'[3]Forecast (pcs.)'!X10</f>
        <v>96</v>
      </c>
      <c r="Y10" s="53">
        <f>'[3]Forecast (pcs.)'!Y10</f>
        <v>96</v>
      </c>
      <c r="Z10" s="53">
        <f>'[3]Forecast (pcs.)'!Z10</f>
        <v>96</v>
      </c>
      <c r="AA10" s="53">
        <f>'[3]Forecast (pcs.)'!AA10</f>
        <v>96</v>
      </c>
      <c r="AB10" s="53">
        <f>'[3]Forecast (pcs.)'!AB10</f>
        <v>96</v>
      </c>
      <c r="AD10" s="6">
        <f t="shared" si="0"/>
        <v>80</v>
      </c>
      <c r="AE10" s="6"/>
    </row>
    <row r="11" spans="1:43" ht="15" customHeight="1" x14ac:dyDescent="0.25">
      <c r="A11" s="2">
        <v>5611</v>
      </c>
      <c r="B11" s="15" t="s">
        <v>274</v>
      </c>
      <c r="C11" s="20">
        <v>5611</v>
      </c>
      <c r="D11" s="16" t="s">
        <v>282</v>
      </c>
      <c r="E11" s="17">
        <v>226.03</v>
      </c>
      <c r="F11" s="18">
        <v>144</v>
      </c>
      <c r="G11" s="21">
        <v>393</v>
      </c>
      <c r="H11" s="6">
        <v>144</v>
      </c>
      <c r="I11" s="22">
        <v>240</v>
      </c>
      <c r="J11" s="22">
        <v>240</v>
      </c>
      <c r="K11" s="22">
        <v>207</v>
      </c>
      <c r="L11" s="22">
        <v>48</v>
      </c>
      <c r="M11" s="22">
        <v>100</v>
      </c>
      <c r="N11" s="22">
        <v>51</v>
      </c>
      <c r="O11" s="22">
        <v>432</v>
      </c>
      <c r="P11" s="22">
        <v>192</v>
      </c>
      <c r="Q11" s="53">
        <f>'[3]Forecast (pcs.)'!Q11</f>
        <v>1464</v>
      </c>
      <c r="R11" s="53">
        <f>'[3]Forecast (pcs.)'!R11</f>
        <v>1368</v>
      </c>
      <c r="S11" s="53">
        <f>'[3]Forecast (pcs.)'!S11</f>
        <v>480</v>
      </c>
      <c r="T11" s="53">
        <f>'[3]Forecast (pcs.)'!T11</f>
        <v>768</v>
      </c>
      <c r="U11" s="53">
        <f>'[3]Forecast (pcs.)'!U11</f>
        <v>1488</v>
      </c>
      <c r="V11" s="53">
        <f>'[3]Forecast (pcs.)'!V11</f>
        <v>816</v>
      </c>
      <c r="W11" s="53">
        <f>'[3]Forecast (pcs.)'!W11</f>
        <v>1080</v>
      </c>
      <c r="X11" s="53">
        <f>'[3]Forecast (pcs.)'!X11</f>
        <v>1056</v>
      </c>
      <c r="Y11" s="53">
        <f>'[3]Forecast (pcs.)'!Y11</f>
        <v>1080</v>
      </c>
      <c r="Z11" s="53">
        <f>'[3]Forecast (pcs.)'!Z11</f>
        <v>984</v>
      </c>
      <c r="AA11" s="53">
        <f>'[3]Forecast (pcs.)'!AA11</f>
        <v>984</v>
      </c>
      <c r="AB11" s="53">
        <f>'[3]Forecast (pcs.)'!AB11</f>
        <v>408</v>
      </c>
      <c r="AD11" s="6">
        <f t="shared" si="0"/>
        <v>998</v>
      </c>
      <c r="AE11" s="6"/>
    </row>
    <row r="12" spans="1:43" ht="15" customHeight="1" x14ac:dyDescent="0.25">
      <c r="A12" s="2">
        <v>5613</v>
      </c>
      <c r="B12" s="15" t="s">
        <v>274</v>
      </c>
      <c r="C12" s="20">
        <v>5613</v>
      </c>
      <c r="D12" s="16" t="s">
        <v>283</v>
      </c>
      <c r="E12" s="17">
        <v>48.47</v>
      </c>
      <c r="F12" s="18">
        <v>3650</v>
      </c>
      <c r="G12" s="21">
        <v>3767</v>
      </c>
      <c r="H12" s="6">
        <v>108</v>
      </c>
      <c r="I12" s="22">
        <v>409</v>
      </c>
      <c r="J12" s="22">
        <v>468</v>
      </c>
      <c r="K12" s="22">
        <v>697</v>
      </c>
      <c r="L12" s="22">
        <v>1481</v>
      </c>
      <c r="M12" s="22">
        <v>1529</v>
      </c>
      <c r="N12" s="22">
        <v>1274</v>
      </c>
      <c r="O12" s="22">
        <v>1613</v>
      </c>
      <c r="P12" s="22">
        <v>1116</v>
      </c>
      <c r="Q12" s="53">
        <f>'[3]Forecast (pcs.)'!Q12</f>
        <v>1473</v>
      </c>
      <c r="R12" s="53">
        <f>'[3]Forecast (pcs.)'!R12</f>
        <v>1318</v>
      </c>
      <c r="S12" s="53">
        <f>'[3]Forecast (pcs.)'!S12</f>
        <v>1428</v>
      </c>
      <c r="T12" s="53">
        <f>'[3]Forecast (pcs.)'!T12</f>
        <v>1464</v>
      </c>
      <c r="U12" s="53">
        <f>'[3]Forecast (pcs.)'!U12</f>
        <v>1692</v>
      </c>
      <c r="V12" s="53">
        <f>'[3]Forecast (pcs.)'!V12</f>
        <v>1440</v>
      </c>
      <c r="W12" s="53">
        <f>'[3]Forecast (pcs.)'!W12</f>
        <v>1980</v>
      </c>
      <c r="X12" s="53">
        <f>'[3]Forecast (pcs.)'!X12</f>
        <v>2040</v>
      </c>
      <c r="Y12" s="53">
        <f>'[3]Forecast (pcs.)'!Y12</f>
        <v>1980</v>
      </c>
      <c r="Z12" s="53">
        <f>'[3]Forecast (pcs.)'!Z12</f>
        <v>1752</v>
      </c>
      <c r="AA12" s="53">
        <f>'[3]Forecast (pcs.)'!AA12</f>
        <v>1884</v>
      </c>
      <c r="AB12" s="53">
        <f>'[3]Forecast (pcs.)'!AB12</f>
        <v>2268</v>
      </c>
      <c r="AD12" s="6">
        <f t="shared" si="0"/>
        <v>1726.5833333333333</v>
      </c>
      <c r="AE12" s="6"/>
    </row>
    <row r="13" spans="1:43" ht="15" customHeight="1" x14ac:dyDescent="0.25">
      <c r="A13" s="2">
        <v>5615</v>
      </c>
      <c r="B13" s="15" t="s">
        <v>274</v>
      </c>
      <c r="C13" s="20">
        <v>5615</v>
      </c>
      <c r="D13" s="16" t="s">
        <v>284</v>
      </c>
      <c r="E13" s="17">
        <v>251.18</v>
      </c>
      <c r="F13" s="18">
        <v>0</v>
      </c>
      <c r="G13" s="21">
        <v>120</v>
      </c>
      <c r="H13" s="6">
        <v>0</v>
      </c>
      <c r="I13" s="22">
        <v>48</v>
      </c>
      <c r="J13" s="22">
        <v>72</v>
      </c>
      <c r="K13" s="22">
        <v>48</v>
      </c>
      <c r="L13" s="22">
        <v>72</v>
      </c>
      <c r="M13" s="22">
        <v>72</v>
      </c>
      <c r="N13" s="22">
        <v>48</v>
      </c>
      <c r="O13" s="22">
        <v>24</v>
      </c>
      <c r="P13" s="22">
        <v>72</v>
      </c>
      <c r="Q13" s="53">
        <f>'[3]Forecast (pcs.)'!Q13</f>
        <v>48</v>
      </c>
      <c r="R13" s="53">
        <f>'[3]Forecast (pcs.)'!R13</f>
        <v>24</v>
      </c>
      <c r="S13" s="53">
        <f>'[3]Forecast (pcs.)'!S13</f>
        <v>72</v>
      </c>
      <c r="T13" s="53">
        <f>'[3]Forecast (pcs.)'!T13</f>
        <v>48</v>
      </c>
      <c r="U13" s="53">
        <f>'[3]Forecast (pcs.)'!U13</f>
        <v>24</v>
      </c>
      <c r="V13" s="53">
        <f>'[3]Forecast (pcs.)'!V13</f>
        <v>24</v>
      </c>
      <c r="W13" s="53">
        <f>'[3]Forecast (pcs.)'!W13</f>
        <v>24</v>
      </c>
      <c r="X13" s="53">
        <f>'[3]Forecast (pcs.)'!X13</f>
        <v>48</v>
      </c>
      <c r="Y13" s="53">
        <f>'[3]Forecast (pcs.)'!Y13</f>
        <v>24</v>
      </c>
      <c r="Z13" s="53">
        <f>'[3]Forecast (pcs.)'!Z13</f>
        <v>48</v>
      </c>
      <c r="AA13" s="53">
        <f>'[3]Forecast (pcs.)'!AA13</f>
        <v>24</v>
      </c>
      <c r="AB13" s="53">
        <f>'[3]Forecast (pcs.)'!AB13</f>
        <v>24</v>
      </c>
      <c r="AD13" s="6">
        <f t="shared" si="0"/>
        <v>36</v>
      </c>
      <c r="AE13" s="6"/>
    </row>
    <row r="14" spans="1:43" ht="15.75" customHeight="1" x14ac:dyDescent="0.25">
      <c r="A14" s="2">
        <v>5616</v>
      </c>
      <c r="B14" s="15" t="s">
        <v>274</v>
      </c>
      <c r="C14" s="20">
        <v>5616</v>
      </c>
      <c r="D14" s="16" t="s">
        <v>285</v>
      </c>
      <c r="E14" s="17">
        <v>87.19</v>
      </c>
      <c r="F14" s="18">
        <v>48</v>
      </c>
      <c r="G14" s="21">
        <v>528</v>
      </c>
      <c r="H14" s="6">
        <v>144</v>
      </c>
      <c r="I14" s="22">
        <v>240</v>
      </c>
      <c r="J14" s="22">
        <v>384</v>
      </c>
      <c r="K14" s="22">
        <v>672</v>
      </c>
      <c r="L14" s="22">
        <v>582</v>
      </c>
      <c r="M14" s="22">
        <v>104</v>
      </c>
      <c r="N14" s="22">
        <v>53</v>
      </c>
      <c r="O14" s="22">
        <v>384</v>
      </c>
      <c r="P14" s="22">
        <v>96</v>
      </c>
      <c r="Q14" s="53">
        <f>'[3]Forecast (pcs.)'!Q14</f>
        <v>504</v>
      </c>
      <c r="R14" s="53">
        <f>'[3]Forecast (pcs.)'!R14</f>
        <v>409</v>
      </c>
      <c r="S14" s="53">
        <f>'[3]Forecast (pcs.)'!S14</f>
        <v>343</v>
      </c>
      <c r="T14" s="53">
        <f>'[3]Forecast (pcs.)'!T14</f>
        <v>96</v>
      </c>
      <c r="U14" s="53">
        <f>'[3]Forecast (pcs.)'!U14</f>
        <v>528</v>
      </c>
      <c r="V14" s="53">
        <f>'[3]Forecast (pcs.)'!V14</f>
        <v>192</v>
      </c>
      <c r="W14" s="53">
        <f>'[3]Forecast (pcs.)'!W14</f>
        <v>408</v>
      </c>
      <c r="X14" s="53">
        <f>'[3]Forecast (pcs.)'!X14</f>
        <v>384</v>
      </c>
      <c r="Y14" s="53">
        <f>'[3]Forecast (pcs.)'!Y14</f>
        <v>408</v>
      </c>
      <c r="Z14" s="53">
        <f>'[3]Forecast (pcs.)'!Z14</f>
        <v>360</v>
      </c>
      <c r="AA14" s="53">
        <f>'[3]Forecast (pcs.)'!AA14</f>
        <v>408</v>
      </c>
      <c r="AB14" s="53">
        <f>'[3]Forecast (pcs.)'!AB14</f>
        <v>312</v>
      </c>
      <c r="AD14" s="6">
        <f t="shared" si="0"/>
        <v>362.66666666666669</v>
      </c>
      <c r="AE14" s="6"/>
    </row>
    <row r="15" spans="1:43" ht="15" customHeight="1" x14ac:dyDescent="0.25">
      <c r="A15" s="2">
        <v>5826</v>
      </c>
      <c r="B15" s="15" t="s">
        <v>274</v>
      </c>
      <c r="C15" s="20">
        <v>5826</v>
      </c>
      <c r="D15" s="16" t="s">
        <v>286</v>
      </c>
      <c r="E15" s="17">
        <v>682.82</v>
      </c>
      <c r="F15" s="18">
        <v>193</v>
      </c>
      <c r="G15" s="21">
        <v>336</v>
      </c>
      <c r="H15" s="6">
        <v>0</v>
      </c>
      <c r="I15" s="22">
        <v>0</v>
      </c>
      <c r="J15" s="22">
        <v>48</v>
      </c>
      <c r="K15" s="22">
        <v>48</v>
      </c>
      <c r="L15" s="22">
        <v>0</v>
      </c>
      <c r="M15" s="22">
        <v>96</v>
      </c>
      <c r="N15" s="22">
        <v>48</v>
      </c>
      <c r="O15" s="22">
        <v>48</v>
      </c>
      <c r="P15" s="22">
        <v>48</v>
      </c>
      <c r="Q15" s="53">
        <f>'[3]Forecast (pcs.)'!Q15</f>
        <v>0</v>
      </c>
      <c r="R15" s="53">
        <f>'[3]Forecast (pcs.)'!R15</f>
        <v>0</v>
      </c>
      <c r="S15" s="53">
        <f>'[3]Forecast (pcs.)'!S15</f>
        <v>0</v>
      </c>
      <c r="T15" s="53">
        <f>'[3]Forecast (pcs.)'!T15</f>
        <v>0</v>
      </c>
      <c r="U15" s="53">
        <f>'[3]Forecast (pcs.)'!U15</f>
        <v>0</v>
      </c>
      <c r="V15" s="53">
        <f>'[3]Forecast (pcs.)'!V15</f>
        <v>0</v>
      </c>
      <c r="W15" s="53">
        <f>'[3]Forecast (pcs.)'!W15</f>
        <v>0</v>
      </c>
      <c r="X15" s="53">
        <f>'[3]Forecast (pcs.)'!X15</f>
        <v>0</v>
      </c>
      <c r="Y15" s="53">
        <f>'[3]Forecast (pcs.)'!Y15</f>
        <v>0</v>
      </c>
      <c r="Z15" s="53">
        <f>'[3]Forecast (pcs.)'!Z15</f>
        <v>0</v>
      </c>
      <c r="AA15" s="53">
        <f>'[3]Forecast (pcs.)'!AA15</f>
        <v>0</v>
      </c>
      <c r="AB15" s="53">
        <f>'[3]Forecast (pcs.)'!AB15</f>
        <v>0</v>
      </c>
      <c r="AD15" s="6">
        <f t="shared" si="0"/>
        <v>0</v>
      </c>
      <c r="AE15" s="6"/>
    </row>
    <row r="16" spans="1:43" ht="15" customHeight="1" x14ac:dyDescent="0.25">
      <c r="A16" s="2">
        <v>5841</v>
      </c>
      <c r="B16" s="15" t="s">
        <v>274</v>
      </c>
      <c r="C16" s="20">
        <v>5841</v>
      </c>
      <c r="D16" s="16" t="s">
        <v>287</v>
      </c>
      <c r="E16" s="17">
        <v>671.44</v>
      </c>
      <c r="F16" s="18">
        <v>240</v>
      </c>
      <c r="G16" s="21">
        <v>336</v>
      </c>
      <c r="H16" s="6">
        <v>336</v>
      </c>
      <c r="I16" s="22">
        <v>276</v>
      </c>
      <c r="J16" s="22">
        <v>408</v>
      </c>
      <c r="K16" s="22">
        <v>432</v>
      </c>
      <c r="L16" s="22">
        <v>600</v>
      </c>
      <c r="M16" s="22">
        <v>240</v>
      </c>
      <c r="N16" s="22">
        <v>240</v>
      </c>
      <c r="O16" s="22">
        <v>240</v>
      </c>
      <c r="P16" s="22">
        <v>96</v>
      </c>
      <c r="Q16" s="53">
        <f>'[3]Forecast (pcs.)'!Q16</f>
        <v>337</v>
      </c>
      <c r="R16" s="53">
        <f>'[3]Forecast (pcs.)'!R16</f>
        <v>363</v>
      </c>
      <c r="S16" s="53">
        <f>'[3]Forecast (pcs.)'!S16</f>
        <v>240</v>
      </c>
      <c r="T16" s="53">
        <f>'[3]Forecast (pcs.)'!T16</f>
        <v>264</v>
      </c>
      <c r="U16" s="53">
        <f>'[3]Forecast (pcs.)'!U16</f>
        <v>288</v>
      </c>
      <c r="V16" s="53">
        <f>'[3]Forecast (pcs.)'!V16</f>
        <v>216</v>
      </c>
      <c r="W16" s="53">
        <f>'[3]Forecast (pcs.)'!W16</f>
        <v>144</v>
      </c>
      <c r="X16" s="53">
        <f>'[3]Forecast (pcs.)'!X16</f>
        <v>264</v>
      </c>
      <c r="Y16" s="53">
        <f>'[3]Forecast (pcs.)'!Y16</f>
        <v>72</v>
      </c>
      <c r="Z16" s="53">
        <f>'[3]Forecast (pcs.)'!Z16</f>
        <v>288</v>
      </c>
      <c r="AA16" s="53">
        <f>'[3]Forecast (pcs.)'!AA16</f>
        <v>144</v>
      </c>
      <c r="AB16" s="53">
        <f>'[3]Forecast (pcs.)'!AB16</f>
        <v>216</v>
      </c>
      <c r="AD16" s="6">
        <f t="shared" si="0"/>
        <v>236.33333333333334</v>
      </c>
      <c r="AE16" s="6"/>
    </row>
    <row r="17" spans="1:31" ht="15" customHeight="1" x14ac:dyDescent="0.25">
      <c r="A17" s="2">
        <v>5915</v>
      </c>
      <c r="B17" s="15" t="s">
        <v>274</v>
      </c>
      <c r="C17" s="20">
        <v>5915</v>
      </c>
      <c r="D17" s="16" t="s">
        <v>288</v>
      </c>
      <c r="E17" s="17">
        <v>493.43</v>
      </c>
      <c r="F17" s="18">
        <v>0</v>
      </c>
      <c r="G17" s="21">
        <v>120</v>
      </c>
      <c r="H17" s="6">
        <v>24</v>
      </c>
      <c r="I17" s="22">
        <v>72</v>
      </c>
      <c r="J17" s="22">
        <v>180</v>
      </c>
      <c r="K17" s="22">
        <v>384</v>
      </c>
      <c r="L17" s="22">
        <v>216</v>
      </c>
      <c r="M17" s="22">
        <v>240</v>
      </c>
      <c r="N17" s="22">
        <v>0</v>
      </c>
      <c r="O17" s="22">
        <v>0</v>
      </c>
      <c r="P17" s="22">
        <v>0</v>
      </c>
      <c r="Q17" s="53">
        <f>'[3]Forecast (pcs.)'!Q17</f>
        <v>20</v>
      </c>
      <c r="R17" s="53">
        <f>'[3]Forecast (pcs.)'!R17</f>
        <v>6</v>
      </c>
      <c r="S17" s="53">
        <f>'[3]Forecast (pcs.)'!S17</f>
        <v>4</v>
      </c>
      <c r="T17" s="53">
        <f>'[3]Forecast (pcs.)'!T17</f>
        <v>0</v>
      </c>
      <c r="U17" s="53">
        <f>'[3]Forecast (pcs.)'!U17</f>
        <v>0</v>
      </c>
      <c r="V17" s="53">
        <f>'[3]Forecast (pcs.)'!V17</f>
        <v>0</v>
      </c>
      <c r="W17" s="53">
        <f>'[3]Forecast (pcs.)'!W17</f>
        <v>0</v>
      </c>
      <c r="X17" s="53">
        <f>'[3]Forecast (pcs.)'!X17</f>
        <v>0</v>
      </c>
      <c r="Y17" s="53">
        <f>'[3]Forecast (pcs.)'!Y17</f>
        <v>0</v>
      </c>
      <c r="Z17" s="53">
        <f>'[3]Forecast (pcs.)'!Z17</f>
        <v>0</v>
      </c>
      <c r="AA17" s="53">
        <f>'[3]Forecast (pcs.)'!AA17</f>
        <v>0</v>
      </c>
      <c r="AB17" s="53">
        <f>'[3]Forecast (pcs.)'!AB17</f>
        <v>0</v>
      </c>
      <c r="AD17" s="6">
        <f t="shared" si="0"/>
        <v>2.5</v>
      </c>
      <c r="AE17" s="6"/>
    </row>
    <row r="18" spans="1:31" ht="15" customHeight="1" x14ac:dyDescent="0.25">
      <c r="A18" s="2">
        <v>5962</v>
      </c>
      <c r="B18" s="15" t="s">
        <v>274</v>
      </c>
      <c r="C18" s="20">
        <v>5962</v>
      </c>
      <c r="D18" s="16" t="s">
        <v>289</v>
      </c>
      <c r="E18" s="17">
        <v>534.29</v>
      </c>
      <c r="F18" s="18">
        <v>0</v>
      </c>
      <c r="G18" s="21">
        <v>0</v>
      </c>
      <c r="H18" s="6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53">
        <f>'[3]Forecast (pcs.)'!Q18</f>
        <v>0</v>
      </c>
      <c r="R18" s="53">
        <f>'[3]Forecast (pcs.)'!R18</f>
        <v>0</v>
      </c>
      <c r="S18" s="53">
        <f>'[3]Forecast (pcs.)'!S18</f>
        <v>0</v>
      </c>
      <c r="T18" s="53">
        <f>'[3]Forecast (pcs.)'!T18</f>
        <v>0</v>
      </c>
      <c r="U18" s="53">
        <f>'[3]Forecast (pcs.)'!U18</f>
        <v>0</v>
      </c>
      <c r="V18" s="53">
        <f>'[3]Forecast (pcs.)'!V18</f>
        <v>0</v>
      </c>
      <c r="W18" s="53">
        <f>'[3]Forecast (pcs.)'!W18</f>
        <v>0</v>
      </c>
      <c r="X18" s="53">
        <f>'[3]Forecast (pcs.)'!X18</f>
        <v>0</v>
      </c>
      <c r="Y18" s="53">
        <f>'[3]Forecast (pcs.)'!Y18</f>
        <v>0</v>
      </c>
      <c r="Z18" s="53">
        <f>'[3]Forecast (pcs.)'!Z18</f>
        <v>0</v>
      </c>
      <c r="AA18" s="53">
        <f>'[3]Forecast (pcs.)'!AA18</f>
        <v>0</v>
      </c>
      <c r="AB18" s="53">
        <f>'[3]Forecast (pcs.)'!AB18</f>
        <v>0</v>
      </c>
      <c r="AD18" s="6">
        <f t="shared" si="0"/>
        <v>0</v>
      </c>
      <c r="AE18" s="6"/>
    </row>
    <row r="19" spans="1:31" ht="15" customHeight="1" x14ac:dyDescent="0.25">
      <c r="A19" s="2">
        <v>6212</v>
      </c>
      <c r="B19" s="15" t="s">
        <v>274</v>
      </c>
      <c r="C19" s="20">
        <v>6212</v>
      </c>
      <c r="D19" s="16" t="s">
        <v>290</v>
      </c>
      <c r="E19" s="17">
        <v>571.76</v>
      </c>
      <c r="F19" s="18">
        <v>96</v>
      </c>
      <c r="G19" s="21">
        <v>0</v>
      </c>
      <c r="H19" s="6">
        <v>0</v>
      </c>
      <c r="I19" s="22">
        <v>0</v>
      </c>
      <c r="J19" s="22">
        <v>25</v>
      </c>
      <c r="K19" s="22">
        <v>13</v>
      </c>
      <c r="L19" s="22">
        <v>5</v>
      </c>
      <c r="M19" s="22">
        <v>0</v>
      </c>
      <c r="N19" s="22">
        <v>29</v>
      </c>
      <c r="O19" s="22">
        <v>0</v>
      </c>
      <c r="P19" s="22">
        <v>0</v>
      </c>
      <c r="Q19" s="53">
        <f>'[3]Forecast (pcs.)'!Q19</f>
        <v>0</v>
      </c>
      <c r="R19" s="53">
        <f>'[3]Forecast (pcs.)'!R19</f>
        <v>0</v>
      </c>
      <c r="S19" s="53">
        <f>'[3]Forecast (pcs.)'!S19</f>
        <v>0</v>
      </c>
      <c r="T19" s="53">
        <f>'[3]Forecast (pcs.)'!T19</f>
        <v>0</v>
      </c>
      <c r="U19" s="53">
        <f>'[3]Forecast (pcs.)'!U19</f>
        <v>0</v>
      </c>
      <c r="V19" s="53">
        <f>'[3]Forecast (pcs.)'!V19</f>
        <v>0</v>
      </c>
      <c r="W19" s="53">
        <f>'[3]Forecast (pcs.)'!W19</f>
        <v>0</v>
      </c>
      <c r="X19" s="53">
        <f>'[3]Forecast (pcs.)'!X19</f>
        <v>0</v>
      </c>
      <c r="Y19" s="53">
        <f>'[3]Forecast (pcs.)'!Y19</f>
        <v>0</v>
      </c>
      <c r="Z19" s="53">
        <f>'[3]Forecast (pcs.)'!Z19</f>
        <v>0</v>
      </c>
      <c r="AA19" s="53">
        <f>'[3]Forecast (pcs.)'!AA19</f>
        <v>0</v>
      </c>
      <c r="AB19" s="53">
        <f>'[3]Forecast (pcs.)'!AB19</f>
        <v>0</v>
      </c>
      <c r="AD19" s="6">
        <f t="shared" si="0"/>
        <v>0</v>
      </c>
      <c r="AE19" s="6"/>
    </row>
    <row r="20" spans="1:31" ht="15" customHeight="1" x14ac:dyDescent="0.25">
      <c r="A20" s="2">
        <v>4729</v>
      </c>
      <c r="B20" s="15" t="s">
        <v>291</v>
      </c>
      <c r="C20" s="20">
        <v>4729</v>
      </c>
      <c r="D20" s="16" t="s">
        <v>292</v>
      </c>
      <c r="E20" s="17">
        <v>3.2</v>
      </c>
      <c r="F20" s="18">
        <v>54000</v>
      </c>
      <c r="G20" s="21">
        <v>57600</v>
      </c>
      <c r="H20" s="23">
        <v>57600</v>
      </c>
      <c r="I20" s="22">
        <v>73800</v>
      </c>
      <c r="J20" s="22">
        <v>72000</v>
      </c>
      <c r="K20" s="22">
        <v>61200</v>
      </c>
      <c r="L20" s="22">
        <v>63000</v>
      </c>
      <c r="M20" s="22">
        <v>61200</v>
      </c>
      <c r="N20" s="22">
        <v>61200</v>
      </c>
      <c r="O20" s="22">
        <v>64800</v>
      </c>
      <c r="P20" s="22">
        <v>54000</v>
      </c>
      <c r="Q20" s="53">
        <f>'[3]Forecast (pcs.)'!Q20</f>
        <v>59400</v>
      </c>
      <c r="R20" s="53">
        <f>'[3]Forecast (pcs.)'!R20</f>
        <v>59400</v>
      </c>
      <c r="S20" s="53">
        <f>'[3]Forecast (pcs.)'!S20</f>
        <v>64800</v>
      </c>
      <c r="T20" s="53">
        <f>'[3]Forecast (pcs.)'!T20</f>
        <v>68400</v>
      </c>
      <c r="U20" s="53">
        <f>'[3]Forecast (pcs.)'!U20</f>
        <v>77075</v>
      </c>
      <c r="V20" s="53">
        <f>'[3]Forecast (pcs.)'!V20</f>
        <v>78553</v>
      </c>
      <c r="W20" s="53">
        <f>'[3]Forecast (pcs.)'!W20</f>
        <v>64843.781907710589</v>
      </c>
      <c r="X20" s="53">
        <f>'[3]Forecast (pcs.)'!X20</f>
        <v>62302.091296550585</v>
      </c>
      <c r="Y20" s="53">
        <f>'[3]Forecast (pcs.)'!Y20</f>
        <v>64861.87223234518</v>
      </c>
      <c r="Z20" s="53">
        <f>'[3]Forecast (pcs.)'!Z20</f>
        <v>65462.22432396857</v>
      </c>
      <c r="AA20" s="53">
        <f>'[3]Forecast (pcs.)'!AA20</f>
        <v>63748.988300402874</v>
      </c>
      <c r="AB20" s="53">
        <f>'[3]Forecast (pcs.)'!AB20</f>
        <v>53358.703386577312</v>
      </c>
      <c r="AD20" s="6">
        <f t="shared" ref="AD20:AD43" si="1">AVERAGE(Q20:V20)</f>
        <v>67938</v>
      </c>
    </row>
    <row r="21" spans="1:31" ht="15" customHeight="1" x14ac:dyDescent="0.25">
      <c r="A21" s="2">
        <v>5001</v>
      </c>
      <c r="B21" s="15" t="s">
        <v>291</v>
      </c>
      <c r="C21" s="20">
        <v>5001</v>
      </c>
      <c r="D21" s="16" t="s">
        <v>293</v>
      </c>
      <c r="E21" s="17">
        <v>0</v>
      </c>
      <c r="F21" s="18">
        <v>0</v>
      </c>
      <c r="G21" s="21">
        <v>0</v>
      </c>
      <c r="H21" s="23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53">
        <f>'[3]Forecast (pcs.)'!Q21</f>
        <v>0</v>
      </c>
      <c r="R21" s="53">
        <f>'[3]Forecast (pcs.)'!R21</f>
        <v>0</v>
      </c>
      <c r="S21" s="53">
        <f>'[3]Forecast (pcs.)'!S21</f>
        <v>0</v>
      </c>
      <c r="T21" s="53">
        <f>'[3]Forecast (pcs.)'!T21</f>
        <v>0</v>
      </c>
      <c r="U21" s="53">
        <f>'[3]Forecast (pcs.)'!U21</f>
        <v>0</v>
      </c>
      <c r="V21" s="53">
        <f>'[3]Forecast (pcs.)'!V21</f>
        <v>0</v>
      </c>
      <c r="W21" s="53">
        <f>'[3]Forecast (pcs.)'!W21</f>
        <v>0</v>
      </c>
      <c r="X21" s="53">
        <f>'[3]Forecast (pcs.)'!X21</f>
        <v>0</v>
      </c>
      <c r="Y21" s="53">
        <f>'[3]Forecast (pcs.)'!Y21</f>
        <v>0</v>
      </c>
      <c r="Z21" s="53">
        <f>'[3]Forecast (pcs.)'!Z21</f>
        <v>0</v>
      </c>
      <c r="AA21" s="53">
        <f>'[3]Forecast (pcs.)'!AA21</f>
        <v>0</v>
      </c>
      <c r="AB21" s="53">
        <f>'[3]Forecast (pcs.)'!AB21</f>
        <v>0</v>
      </c>
      <c r="AD21" s="6">
        <f t="shared" si="1"/>
        <v>0</v>
      </c>
    </row>
    <row r="22" spans="1:31" ht="15.75" customHeight="1" x14ac:dyDescent="0.25">
      <c r="A22" s="2">
        <v>5002</v>
      </c>
      <c r="B22" s="15" t="s">
        <v>291</v>
      </c>
      <c r="C22" s="20">
        <v>5002</v>
      </c>
      <c r="D22" s="16" t="s">
        <v>294</v>
      </c>
      <c r="E22" s="17">
        <v>8.4700000000000006</v>
      </c>
      <c r="F22" s="18">
        <v>0</v>
      </c>
      <c r="G22" s="21">
        <v>0</v>
      </c>
      <c r="H22" s="23">
        <v>0</v>
      </c>
      <c r="I22" s="22">
        <v>0</v>
      </c>
      <c r="J22" s="22">
        <v>0</v>
      </c>
      <c r="K22" s="22">
        <v>0</v>
      </c>
      <c r="L22" s="22">
        <v>0</v>
      </c>
      <c r="M22" s="22">
        <v>500</v>
      </c>
      <c r="N22" s="22">
        <v>0</v>
      </c>
      <c r="O22" s="22">
        <v>0</v>
      </c>
      <c r="P22" s="22">
        <v>0</v>
      </c>
      <c r="Q22" s="53">
        <f>'[3]Forecast (pcs.)'!Q22</f>
        <v>0</v>
      </c>
      <c r="R22" s="53">
        <f>'[3]Forecast (pcs.)'!R22</f>
        <v>0</v>
      </c>
      <c r="S22" s="53">
        <f>'[3]Forecast (pcs.)'!S22</f>
        <v>0</v>
      </c>
      <c r="T22" s="53">
        <f>'[3]Forecast (pcs.)'!T22</f>
        <v>0</v>
      </c>
      <c r="U22" s="53">
        <f>'[3]Forecast (pcs.)'!U22</f>
        <v>0</v>
      </c>
      <c r="V22" s="53">
        <f>'[3]Forecast (pcs.)'!V22</f>
        <v>0</v>
      </c>
      <c r="W22" s="53">
        <f>'[3]Forecast (pcs.)'!W22</f>
        <v>0</v>
      </c>
      <c r="X22" s="53">
        <f>'[3]Forecast (pcs.)'!X22</f>
        <v>0</v>
      </c>
      <c r="Y22" s="53">
        <f>'[3]Forecast (pcs.)'!Y22</f>
        <v>0</v>
      </c>
      <c r="Z22" s="53">
        <f>'[3]Forecast (pcs.)'!Z22</f>
        <v>0</v>
      </c>
      <c r="AA22" s="53">
        <f>'[3]Forecast (pcs.)'!AA22</f>
        <v>0</v>
      </c>
      <c r="AB22" s="53">
        <f>'[3]Forecast (pcs.)'!AB22</f>
        <v>0</v>
      </c>
      <c r="AD22" s="6">
        <f t="shared" si="1"/>
        <v>0</v>
      </c>
    </row>
    <row r="23" spans="1:31" ht="15" customHeight="1" x14ac:dyDescent="0.25">
      <c r="A23" s="2">
        <v>5241</v>
      </c>
      <c r="B23" s="15" t="s">
        <v>291</v>
      </c>
      <c r="C23" s="20">
        <v>5241</v>
      </c>
      <c r="D23" s="16" t="s">
        <v>295</v>
      </c>
      <c r="E23" s="17">
        <v>49.41</v>
      </c>
      <c r="F23" s="18">
        <v>4400</v>
      </c>
      <c r="G23" s="21">
        <v>4000</v>
      </c>
      <c r="H23" s="23">
        <v>5200</v>
      </c>
      <c r="I23" s="22">
        <v>6400</v>
      </c>
      <c r="J23" s="22">
        <v>6400</v>
      </c>
      <c r="K23" s="22">
        <v>6000</v>
      </c>
      <c r="L23" s="22">
        <v>6400</v>
      </c>
      <c r="M23" s="22">
        <v>6400</v>
      </c>
      <c r="N23" s="22">
        <v>4400</v>
      </c>
      <c r="O23" s="22">
        <v>4800</v>
      </c>
      <c r="P23" s="22">
        <v>400</v>
      </c>
      <c r="Q23" s="53">
        <f>'[3]Forecast (pcs.)'!Q23</f>
        <v>2800</v>
      </c>
      <c r="R23" s="53">
        <f>'[3]Forecast (pcs.)'!R23</f>
        <v>4000</v>
      </c>
      <c r="S23" s="53">
        <f>'[3]Forecast (pcs.)'!S23</f>
        <v>2000</v>
      </c>
      <c r="T23" s="53">
        <f>'[3]Forecast (pcs.)'!T23</f>
        <v>1600</v>
      </c>
      <c r="U23" s="53">
        <f>'[3]Forecast (pcs.)'!U23</f>
        <v>3073</v>
      </c>
      <c r="V23" s="53">
        <f>'[3]Forecast (pcs.)'!V23</f>
        <v>3150</v>
      </c>
      <c r="W23" s="53">
        <f>'[3]Forecast (pcs.)'!W23</f>
        <v>3898.2842585419144</v>
      </c>
      <c r="X23" s="53">
        <f>'[3]Forecast (pcs.)'!X23</f>
        <v>3344.1809606307347</v>
      </c>
      <c r="Y23" s="53">
        <f>'[3]Forecast (pcs.)'!Y23</f>
        <v>3481.5819770448297</v>
      </c>
      <c r="Z23" s="53">
        <f>'[3]Forecast (pcs.)'!Z23</f>
        <v>3513.8069953821027</v>
      </c>
      <c r="AA23" s="53">
        <f>'[3]Forecast (pcs.)'!AA23</f>
        <v>3421.8458561676262</v>
      </c>
      <c r="AB23" s="53">
        <f>'[3]Forecast (pcs.)'!AB23</f>
        <v>2864.1279327201992</v>
      </c>
      <c r="AD23" s="6">
        <f t="shared" si="1"/>
        <v>2770.5</v>
      </c>
    </row>
    <row r="24" spans="1:31" ht="15" customHeight="1" x14ac:dyDescent="0.25">
      <c r="A24" s="2">
        <v>5310</v>
      </c>
      <c r="B24" s="15" t="s">
        <v>291</v>
      </c>
      <c r="C24" s="20">
        <v>5310</v>
      </c>
      <c r="D24" s="16" t="s">
        <v>296</v>
      </c>
      <c r="E24" s="17">
        <v>6.37</v>
      </c>
      <c r="F24" s="18">
        <v>27000</v>
      </c>
      <c r="G24" s="21">
        <v>27000</v>
      </c>
      <c r="H24" s="23">
        <v>18000</v>
      </c>
      <c r="I24" s="22">
        <v>18000</v>
      </c>
      <c r="J24" s="22">
        <v>18000</v>
      </c>
      <c r="K24" s="22">
        <v>18000</v>
      </c>
      <c r="L24" s="22">
        <v>18000</v>
      </c>
      <c r="M24" s="22">
        <v>18000</v>
      </c>
      <c r="N24" s="22">
        <v>9000</v>
      </c>
      <c r="O24" s="22">
        <v>18000</v>
      </c>
      <c r="P24" s="22">
        <v>18000</v>
      </c>
      <c r="Q24" s="53">
        <f>'[3]Forecast (pcs.)'!Q24</f>
        <v>27000</v>
      </c>
      <c r="R24" s="53">
        <f>'[3]Forecast (pcs.)'!R24</f>
        <v>36000</v>
      </c>
      <c r="S24" s="53">
        <f>'[3]Forecast (pcs.)'!S24</f>
        <v>27000</v>
      </c>
      <c r="T24" s="53">
        <f>'[3]Forecast (pcs.)'!T24</f>
        <v>18000</v>
      </c>
      <c r="U24" s="53">
        <f>'[3]Forecast (pcs.)'!U24</f>
        <v>24526</v>
      </c>
      <c r="V24" s="53">
        <f>'[3]Forecast (pcs.)'!V24</f>
        <v>21320</v>
      </c>
      <c r="W24" s="53">
        <f>'[3]Forecast (pcs.)'!W24</f>
        <v>28192.948655526343</v>
      </c>
      <c r="X24" s="53">
        <f>'[3]Forecast (pcs.)'!X24</f>
        <v>27087.865781108951</v>
      </c>
      <c r="Y24" s="53">
        <f>'[3]Forecast (pcs.)'!Y24</f>
        <v>28200.814014063122</v>
      </c>
      <c r="Z24" s="53">
        <f>'[3]Forecast (pcs.)'!Z24</f>
        <v>28461.836662595033</v>
      </c>
      <c r="AA24" s="53">
        <f>'[3]Forecast (pcs.)'!AA24</f>
        <v>27716.951434957773</v>
      </c>
      <c r="AB24" s="53">
        <f>'[3]Forecast (pcs.)'!AB24</f>
        <v>23199.436255033615</v>
      </c>
      <c r="AD24" s="6">
        <f t="shared" si="1"/>
        <v>25641</v>
      </c>
    </row>
    <row r="25" spans="1:31" ht="15" customHeight="1" x14ac:dyDescent="0.25">
      <c r="A25" s="2">
        <v>5311</v>
      </c>
      <c r="B25" s="15" t="s">
        <v>291</v>
      </c>
      <c r="C25" s="20">
        <v>5311</v>
      </c>
      <c r="D25" s="16" t="s">
        <v>297</v>
      </c>
      <c r="E25" s="17">
        <v>6.53</v>
      </c>
      <c r="F25" s="18">
        <v>10800</v>
      </c>
      <c r="G25" s="21">
        <v>10800</v>
      </c>
      <c r="H25" s="23">
        <v>10800</v>
      </c>
      <c r="I25" s="22">
        <v>10800</v>
      </c>
      <c r="J25" s="22">
        <v>10800</v>
      </c>
      <c r="K25" s="22">
        <v>10800</v>
      </c>
      <c r="L25" s="22">
        <v>10800</v>
      </c>
      <c r="M25" s="22">
        <v>10800</v>
      </c>
      <c r="N25" s="22">
        <v>10800</v>
      </c>
      <c r="O25" s="22">
        <v>10800</v>
      </c>
      <c r="P25" s="22">
        <v>10800</v>
      </c>
      <c r="Q25" s="53">
        <f>'[3]Forecast (pcs.)'!Q25</f>
        <v>16200</v>
      </c>
      <c r="R25" s="53">
        <f>'[3]Forecast (pcs.)'!R25</f>
        <v>16200</v>
      </c>
      <c r="S25" s="53">
        <f>'[3]Forecast (pcs.)'!S25</f>
        <v>16200</v>
      </c>
      <c r="T25" s="53">
        <f>'[3]Forecast (pcs.)'!T25</f>
        <v>10800</v>
      </c>
      <c r="U25" s="53">
        <f>'[3]Forecast (pcs.)'!U25</f>
        <v>14078</v>
      </c>
      <c r="V25" s="53">
        <f>'[3]Forecast (pcs.)'!V25</f>
        <v>12435</v>
      </c>
      <c r="W25" s="53">
        <f>'[3]Forecast (pcs.)'!W25</f>
        <v>14096.474327763171</v>
      </c>
      <c r="X25" s="53">
        <f>'[3]Forecast (pcs.)'!X25</f>
        <v>13543.932890554475</v>
      </c>
      <c r="Y25" s="53">
        <f>'[3]Forecast (pcs.)'!Y25</f>
        <v>14100.407007031561</v>
      </c>
      <c r="Z25" s="53">
        <f>'[3]Forecast (pcs.)'!Z25</f>
        <v>14230.918331297516</v>
      </c>
      <c r="AA25" s="53">
        <f>'[3]Forecast (pcs.)'!AA25</f>
        <v>13858.475717478887</v>
      </c>
      <c r="AB25" s="53">
        <f>'[3]Forecast (pcs.)'!AB25</f>
        <v>11599.718127516808</v>
      </c>
      <c r="AD25" s="6">
        <f t="shared" si="1"/>
        <v>14318.833333333334</v>
      </c>
    </row>
    <row r="26" spans="1:31" ht="15" customHeight="1" x14ac:dyDescent="0.25">
      <c r="A26" s="2">
        <v>5409</v>
      </c>
      <c r="B26" s="15" t="s">
        <v>291</v>
      </c>
      <c r="C26" s="20">
        <v>5409</v>
      </c>
      <c r="D26" s="16" t="s">
        <v>298</v>
      </c>
      <c r="E26" s="17">
        <v>23.49</v>
      </c>
      <c r="F26" s="18">
        <v>0</v>
      </c>
      <c r="G26" s="21">
        <v>0</v>
      </c>
      <c r="H26" s="23">
        <v>0</v>
      </c>
      <c r="I26" s="22">
        <v>0</v>
      </c>
      <c r="J26" s="22">
        <v>0</v>
      </c>
      <c r="K26" s="22">
        <v>0</v>
      </c>
      <c r="L26" s="22">
        <v>200</v>
      </c>
      <c r="M26" s="22">
        <v>0</v>
      </c>
      <c r="N26" s="22">
        <v>0</v>
      </c>
      <c r="O26" s="22">
        <v>0</v>
      </c>
      <c r="P26" s="22">
        <v>0</v>
      </c>
      <c r="Q26" s="53">
        <f>'[3]Forecast (pcs.)'!Q26</f>
        <v>0</v>
      </c>
      <c r="R26" s="53">
        <f>'[3]Forecast (pcs.)'!R26</f>
        <v>0</v>
      </c>
      <c r="S26" s="53">
        <f>'[3]Forecast (pcs.)'!S26</f>
        <v>0</v>
      </c>
      <c r="T26" s="53">
        <f>'[3]Forecast (pcs.)'!T26</f>
        <v>0</v>
      </c>
      <c r="U26" s="53">
        <f>'[3]Forecast (pcs.)'!U26</f>
        <v>0</v>
      </c>
      <c r="V26" s="53">
        <f>'[3]Forecast (pcs.)'!V26</f>
        <v>0</v>
      </c>
      <c r="W26" s="53">
        <f>'[3]Forecast (pcs.)'!W26</f>
        <v>0</v>
      </c>
      <c r="X26" s="53">
        <f>'[3]Forecast (pcs.)'!X26</f>
        <v>0</v>
      </c>
      <c r="Y26" s="53">
        <f>'[3]Forecast (pcs.)'!Y26</f>
        <v>0</v>
      </c>
      <c r="Z26" s="53">
        <f>'[3]Forecast (pcs.)'!Z26</f>
        <v>0</v>
      </c>
      <c r="AA26" s="53">
        <f>'[3]Forecast (pcs.)'!AA26</f>
        <v>0</v>
      </c>
      <c r="AB26" s="53">
        <f>'[3]Forecast (pcs.)'!AB26</f>
        <v>0</v>
      </c>
      <c r="AD26" s="6">
        <f t="shared" si="1"/>
        <v>0</v>
      </c>
    </row>
    <row r="27" spans="1:31" ht="15" customHeight="1" x14ac:dyDescent="0.25">
      <c r="A27" s="2">
        <v>5440</v>
      </c>
      <c r="B27" s="15" t="s">
        <v>291</v>
      </c>
      <c r="C27" s="20">
        <v>5440</v>
      </c>
      <c r="D27" s="16" t="s">
        <v>299</v>
      </c>
      <c r="E27" s="17">
        <v>9.59</v>
      </c>
      <c r="F27" s="18">
        <v>0</v>
      </c>
      <c r="G27" s="21">
        <v>0</v>
      </c>
      <c r="H27" s="23">
        <v>600</v>
      </c>
      <c r="I27" s="22">
        <v>0</v>
      </c>
      <c r="J27" s="22">
        <v>0</v>
      </c>
      <c r="K27" s="22">
        <v>600</v>
      </c>
      <c r="L27" s="22">
        <v>0</v>
      </c>
      <c r="M27" s="22">
        <v>400</v>
      </c>
      <c r="N27" s="22">
        <v>400</v>
      </c>
      <c r="O27" s="22">
        <v>0</v>
      </c>
      <c r="P27" s="22">
        <v>1200</v>
      </c>
      <c r="Q27" s="53">
        <f>'[3]Forecast (pcs.)'!Q27</f>
        <v>600</v>
      </c>
      <c r="R27" s="53">
        <f>'[3]Forecast (pcs.)'!R27</f>
        <v>0</v>
      </c>
      <c r="S27" s="53">
        <f>'[3]Forecast (pcs.)'!S27</f>
        <v>0</v>
      </c>
      <c r="T27" s="53">
        <f>'[3]Forecast (pcs.)'!T27</f>
        <v>0</v>
      </c>
      <c r="U27" s="53">
        <f>'[3]Forecast (pcs.)'!U27</f>
        <v>0</v>
      </c>
      <c r="V27" s="53">
        <f>'[3]Forecast (pcs.)'!V27</f>
        <v>0</v>
      </c>
      <c r="W27" s="53">
        <f>'[3]Forecast (pcs.)'!W27</f>
        <v>276.70857013757336</v>
      </c>
      <c r="X27" s="53">
        <f>'[3]Forecast (pcs.)'!X27</f>
        <v>265.86238637014338</v>
      </c>
      <c r="Y27" s="53">
        <f>'[3]Forecast (pcs.)'!Y27</f>
        <v>276.78576717506394</v>
      </c>
      <c r="Z27" s="53">
        <f>'[3]Forecast (pcs.)'!Z27</f>
        <v>279.34765613287715</v>
      </c>
      <c r="AA27" s="53">
        <f>'[3]Forecast (pcs.)'!AA27</f>
        <v>272.03674556532627</v>
      </c>
      <c r="AB27" s="53">
        <f>'[3]Forecast (pcs.)'!AB27</f>
        <v>227.69817065125585</v>
      </c>
      <c r="AD27" s="6">
        <f t="shared" si="1"/>
        <v>100</v>
      </c>
    </row>
    <row r="28" spans="1:31" ht="15" customHeight="1" x14ac:dyDescent="0.25">
      <c r="A28" s="2">
        <v>5441</v>
      </c>
      <c r="B28" s="15" t="s">
        <v>291</v>
      </c>
      <c r="C28" s="20">
        <v>5441</v>
      </c>
      <c r="D28" s="16" t="s">
        <v>300</v>
      </c>
      <c r="E28" s="17">
        <v>14.31</v>
      </c>
      <c r="F28" s="18">
        <v>0</v>
      </c>
      <c r="G28" s="21">
        <v>0</v>
      </c>
      <c r="H28" s="23">
        <v>0</v>
      </c>
      <c r="I28" s="22">
        <v>100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53">
        <f>'[3]Forecast (pcs.)'!Q28</f>
        <v>0</v>
      </c>
      <c r="R28" s="53">
        <f>'[3]Forecast (pcs.)'!R28</f>
        <v>0</v>
      </c>
      <c r="S28" s="53">
        <f>'[3]Forecast (pcs.)'!S28</f>
        <v>0</v>
      </c>
      <c r="T28" s="53">
        <f>'[3]Forecast (pcs.)'!T28</f>
        <v>0</v>
      </c>
      <c r="U28" s="53">
        <f>'[3]Forecast (pcs.)'!U28</f>
        <v>0</v>
      </c>
      <c r="V28" s="53">
        <f>'[3]Forecast (pcs.)'!V28</f>
        <v>0</v>
      </c>
      <c r="W28" s="53">
        <f>'[3]Forecast (pcs.)'!W28</f>
        <v>0</v>
      </c>
      <c r="X28" s="53">
        <f>'[3]Forecast (pcs.)'!X28</f>
        <v>0</v>
      </c>
      <c r="Y28" s="53">
        <f>'[3]Forecast (pcs.)'!Y28</f>
        <v>0</v>
      </c>
      <c r="Z28" s="53">
        <f>'[3]Forecast (pcs.)'!Z28</f>
        <v>0</v>
      </c>
      <c r="AA28" s="53">
        <f>'[3]Forecast (pcs.)'!AA28</f>
        <v>0</v>
      </c>
      <c r="AB28" s="53">
        <f>'[3]Forecast (pcs.)'!AB28</f>
        <v>0</v>
      </c>
      <c r="AD28" s="6">
        <f t="shared" si="1"/>
        <v>0</v>
      </c>
    </row>
    <row r="29" spans="1:31" ht="15" customHeight="1" x14ac:dyDescent="0.25">
      <c r="A29" s="2">
        <v>5442</v>
      </c>
      <c r="B29" s="15" t="s">
        <v>291</v>
      </c>
      <c r="C29" s="20">
        <v>5442</v>
      </c>
      <c r="D29" s="16" t="s">
        <v>301</v>
      </c>
      <c r="E29" s="17">
        <v>16.54</v>
      </c>
      <c r="F29" s="18">
        <v>51840</v>
      </c>
      <c r="G29" s="21">
        <v>54000</v>
      </c>
      <c r="H29" s="23">
        <v>56160</v>
      </c>
      <c r="I29" s="22">
        <v>58320</v>
      </c>
      <c r="J29" s="22">
        <v>60480</v>
      </c>
      <c r="K29" s="22">
        <v>51840</v>
      </c>
      <c r="L29" s="22">
        <v>62640</v>
      </c>
      <c r="M29" s="22">
        <v>51840</v>
      </c>
      <c r="N29" s="22">
        <v>60480</v>
      </c>
      <c r="O29" s="22">
        <v>54000</v>
      </c>
      <c r="P29" s="22">
        <v>54000</v>
      </c>
      <c r="Q29" s="53">
        <f>'[3]Forecast (pcs.)'!Q29</f>
        <v>58320</v>
      </c>
      <c r="R29" s="53">
        <f>'[3]Forecast (pcs.)'!R29</f>
        <v>62640</v>
      </c>
      <c r="S29" s="53">
        <f>'[3]Forecast (pcs.)'!S29</f>
        <v>66960</v>
      </c>
      <c r="T29" s="53">
        <f>'[3]Forecast (pcs.)'!T29</f>
        <v>60480</v>
      </c>
      <c r="U29" s="53">
        <f>'[3]Forecast (pcs.)'!U29</f>
        <v>65603</v>
      </c>
      <c r="V29" s="53">
        <f>'[3]Forecast (pcs.)'!V29</f>
        <v>69012</v>
      </c>
      <c r="W29" s="53">
        <f>'[3]Forecast (pcs.)'!W29</f>
        <v>62024.487042157954</v>
      </c>
      <c r="X29" s="53">
        <f>'[3]Forecast (pcs.)'!X29</f>
        <v>58509.790087195332</v>
      </c>
      <c r="Y29" s="53">
        <f>'[3]Forecast (pcs.)'!Y29</f>
        <v>60913.75827037634</v>
      </c>
      <c r="Z29" s="53">
        <f>'[3]Forecast (pcs.)'!Z29</f>
        <v>61477.567191205271</v>
      </c>
      <c r="AA29" s="53">
        <f>'[3]Forecast (pcs.)'!AA29</f>
        <v>59868.615099508788</v>
      </c>
      <c r="AB29" s="53">
        <f>'[3]Forecast (pcs.)'!AB29</f>
        <v>50110.782310872608</v>
      </c>
      <c r="AD29" s="6">
        <f t="shared" si="1"/>
        <v>63835.833333333336</v>
      </c>
    </row>
    <row r="30" spans="1:31" ht="15" customHeight="1" x14ac:dyDescent="0.25">
      <c r="A30" s="2">
        <v>5443</v>
      </c>
      <c r="B30" s="15" t="s">
        <v>291</v>
      </c>
      <c r="C30" s="20">
        <v>5443</v>
      </c>
      <c r="D30" s="16" t="s">
        <v>302</v>
      </c>
      <c r="E30" s="17">
        <v>18.22</v>
      </c>
      <c r="F30" s="18">
        <v>0</v>
      </c>
      <c r="G30" s="21">
        <v>0</v>
      </c>
      <c r="H30" s="23">
        <v>0</v>
      </c>
      <c r="I30" s="22">
        <v>0</v>
      </c>
      <c r="J30" s="22">
        <v>500</v>
      </c>
      <c r="K30" s="22">
        <v>0</v>
      </c>
      <c r="L30" s="22">
        <v>0</v>
      </c>
      <c r="M30" s="22">
        <v>0</v>
      </c>
      <c r="N30" s="22">
        <v>500</v>
      </c>
      <c r="O30" s="22">
        <v>0</v>
      </c>
      <c r="P30" s="22">
        <v>0</v>
      </c>
      <c r="Q30" s="53">
        <f>'[3]Forecast (pcs.)'!Q30</f>
        <v>0</v>
      </c>
      <c r="R30" s="53">
        <f>'[3]Forecast (pcs.)'!R30</f>
        <v>0</v>
      </c>
      <c r="S30" s="53">
        <f>'[3]Forecast (pcs.)'!S30</f>
        <v>500</v>
      </c>
      <c r="T30" s="53">
        <f>'[3]Forecast (pcs.)'!T30</f>
        <v>0</v>
      </c>
      <c r="U30" s="53">
        <f>'[3]Forecast (pcs.)'!U30</f>
        <v>0</v>
      </c>
      <c r="V30" s="53">
        <f>'[3]Forecast (pcs.)'!V30</f>
        <v>0</v>
      </c>
      <c r="W30" s="53">
        <f>'[3]Forecast (pcs.)'!W30</f>
        <v>87.015273628167719</v>
      </c>
      <c r="X30" s="53">
        <f>'[3]Forecast (pcs.)'!X30</f>
        <v>83.604524015768362</v>
      </c>
      <c r="Y30" s="53">
        <f>'[3]Forecast (pcs.)'!Y30</f>
        <v>87.039549426120743</v>
      </c>
      <c r="Z30" s="53">
        <f>'[3]Forecast (pcs.)'!Z30</f>
        <v>87.845174884552563</v>
      </c>
      <c r="AA30" s="53">
        <f>'[3]Forecast (pcs.)'!AA30</f>
        <v>85.546146404190651</v>
      </c>
      <c r="AB30" s="53">
        <f>'[3]Forecast (pcs.)'!AB30</f>
        <v>71.603198318004971</v>
      </c>
      <c r="AD30" s="6">
        <f t="shared" si="1"/>
        <v>83.333333333333329</v>
      </c>
    </row>
    <row r="31" spans="1:31" ht="15" customHeight="1" x14ac:dyDescent="0.25">
      <c r="A31" s="2">
        <v>5444</v>
      </c>
      <c r="B31" s="15" t="s">
        <v>291</v>
      </c>
      <c r="C31" s="20">
        <v>5444</v>
      </c>
      <c r="D31" s="16" t="s">
        <v>303</v>
      </c>
      <c r="E31" s="17">
        <v>21.16</v>
      </c>
      <c r="F31" s="18">
        <v>0</v>
      </c>
      <c r="G31" s="21">
        <v>0</v>
      </c>
      <c r="H31" s="23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53">
        <f>'[3]Forecast (pcs.)'!Q31</f>
        <v>0</v>
      </c>
      <c r="R31" s="53">
        <f>'[3]Forecast (pcs.)'!R31</f>
        <v>0</v>
      </c>
      <c r="S31" s="53">
        <f>'[3]Forecast (pcs.)'!S31</f>
        <v>0</v>
      </c>
      <c r="T31" s="53">
        <f>'[3]Forecast (pcs.)'!T31</f>
        <v>0</v>
      </c>
      <c r="U31" s="53">
        <f>'[3]Forecast (pcs.)'!U31</f>
        <v>0</v>
      </c>
      <c r="V31" s="53">
        <f>'[3]Forecast (pcs.)'!V31</f>
        <v>0</v>
      </c>
      <c r="W31" s="53">
        <f>'[3]Forecast (pcs.)'!W31</f>
        <v>0</v>
      </c>
      <c r="X31" s="53">
        <f>'[3]Forecast (pcs.)'!X31</f>
        <v>0</v>
      </c>
      <c r="Y31" s="53">
        <f>'[3]Forecast (pcs.)'!Y31</f>
        <v>0</v>
      </c>
      <c r="Z31" s="53">
        <f>'[3]Forecast (pcs.)'!Z31</f>
        <v>0</v>
      </c>
      <c r="AA31" s="53">
        <f>'[3]Forecast (pcs.)'!AA31</f>
        <v>0</v>
      </c>
      <c r="AB31" s="53">
        <f>'[3]Forecast (pcs.)'!AB31</f>
        <v>0</v>
      </c>
      <c r="AD31" s="6">
        <f t="shared" si="1"/>
        <v>0</v>
      </c>
    </row>
    <row r="32" spans="1:31" ht="15" customHeight="1" x14ac:dyDescent="0.25">
      <c r="A32" s="2">
        <v>5445</v>
      </c>
      <c r="B32" s="15" t="s">
        <v>291</v>
      </c>
      <c r="C32" s="20">
        <v>5445</v>
      </c>
      <c r="D32" s="16" t="s">
        <v>304</v>
      </c>
      <c r="E32" s="17">
        <v>22.98</v>
      </c>
      <c r="F32" s="18">
        <v>0</v>
      </c>
      <c r="G32" s="21">
        <v>0</v>
      </c>
      <c r="H32" s="23">
        <v>0</v>
      </c>
      <c r="I32" s="22">
        <v>100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53">
        <f>'[3]Forecast (pcs.)'!Q32</f>
        <v>0</v>
      </c>
      <c r="R32" s="53">
        <f>'[3]Forecast (pcs.)'!R32</f>
        <v>0</v>
      </c>
      <c r="S32" s="53">
        <f>'[3]Forecast (pcs.)'!S32</f>
        <v>0</v>
      </c>
      <c r="T32" s="53">
        <f>'[3]Forecast (pcs.)'!T32</f>
        <v>0</v>
      </c>
      <c r="U32" s="53">
        <f>'[3]Forecast (pcs.)'!U32</f>
        <v>0</v>
      </c>
      <c r="V32" s="53">
        <f>'[3]Forecast (pcs.)'!V32</f>
        <v>0</v>
      </c>
      <c r="W32" s="53">
        <f>'[3]Forecast (pcs.)'!W32</f>
        <v>0</v>
      </c>
      <c r="X32" s="53">
        <f>'[3]Forecast (pcs.)'!X32</f>
        <v>0</v>
      </c>
      <c r="Y32" s="53">
        <f>'[3]Forecast (pcs.)'!Y32</f>
        <v>0</v>
      </c>
      <c r="Z32" s="53">
        <f>'[3]Forecast (pcs.)'!Z32</f>
        <v>0</v>
      </c>
      <c r="AA32" s="53">
        <f>'[3]Forecast (pcs.)'!AA32</f>
        <v>0</v>
      </c>
      <c r="AB32" s="53">
        <f>'[3]Forecast (pcs.)'!AB32</f>
        <v>0</v>
      </c>
      <c r="AD32" s="6">
        <f t="shared" si="1"/>
        <v>0</v>
      </c>
    </row>
    <row r="33" spans="1:30" ht="15" customHeight="1" x14ac:dyDescent="0.25">
      <c r="A33" s="2">
        <v>5446</v>
      </c>
      <c r="B33" s="15" t="s">
        <v>291</v>
      </c>
      <c r="C33" s="20">
        <v>5446</v>
      </c>
      <c r="D33" s="16" t="s">
        <v>305</v>
      </c>
      <c r="E33" s="17">
        <v>19.7</v>
      </c>
      <c r="F33" s="18">
        <v>0</v>
      </c>
      <c r="G33" s="21">
        <v>0</v>
      </c>
      <c r="H33" s="6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53">
        <f>'[3]Forecast (pcs.)'!Q33</f>
        <v>0</v>
      </c>
      <c r="R33" s="53">
        <f>'[3]Forecast (pcs.)'!R33</f>
        <v>0</v>
      </c>
      <c r="S33" s="53">
        <f>'[3]Forecast (pcs.)'!S33</f>
        <v>0</v>
      </c>
      <c r="T33" s="53">
        <f>'[3]Forecast (pcs.)'!T33</f>
        <v>0</v>
      </c>
      <c r="U33" s="53">
        <f>'[3]Forecast (pcs.)'!U33</f>
        <v>0</v>
      </c>
      <c r="V33" s="53">
        <f>'[3]Forecast (pcs.)'!V33</f>
        <v>0</v>
      </c>
      <c r="W33" s="53">
        <f>'[3]Forecast (pcs.)'!W33</f>
        <v>0</v>
      </c>
      <c r="X33" s="53">
        <f>'[3]Forecast (pcs.)'!X33</f>
        <v>0</v>
      </c>
      <c r="Y33" s="53">
        <f>'[3]Forecast (pcs.)'!Y33</f>
        <v>0</v>
      </c>
      <c r="Z33" s="53">
        <f>'[3]Forecast (pcs.)'!Z33</f>
        <v>0</v>
      </c>
      <c r="AA33" s="53">
        <f>'[3]Forecast (pcs.)'!AA33</f>
        <v>0</v>
      </c>
      <c r="AB33" s="53">
        <f>'[3]Forecast (pcs.)'!AB33</f>
        <v>0</v>
      </c>
      <c r="AD33" s="6">
        <f t="shared" si="1"/>
        <v>0</v>
      </c>
    </row>
    <row r="34" spans="1:30" ht="15" customHeight="1" x14ac:dyDescent="0.25">
      <c r="A34" s="2">
        <v>5447</v>
      </c>
      <c r="B34" s="15" t="s">
        <v>291</v>
      </c>
      <c r="C34" s="20">
        <v>5447</v>
      </c>
      <c r="D34" s="16" t="s">
        <v>306</v>
      </c>
      <c r="E34" s="17">
        <v>17.36</v>
      </c>
      <c r="F34" s="18">
        <v>58320</v>
      </c>
      <c r="G34" s="21">
        <v>58320</v>
      </c>
      <c r="H34" s="23">
        <v>51840</v>
      </c>
      <c r="I34" s="22">
        <v>62640</v>
      </c>
      <c r="J34" s="22">
        <v>60480</v>
      </c>
      <c r="K34" s="22">
        <v>56160</v>
      </c>
      <c r="L34" s="22">
        <v>54000</v>
      </c>
      <c r="M34" s="22">
        <v>47520</v>
      </c>
      <c r="N34" s="22">
        <v>58320</v>
      </c>
      <c r="O34" s="22">
        <v>60480</v>
      </c>
      <c r="P34" s="22">
        <v>54000</v>
      </c>
      <c r="Q34" s="53">
        <f>'[3]Forecast (pcs.)'!Q34</f>
        <v>54000</v>
      </c>
      <c r="R34" s="53">
        <f>'[3]Forecast (pcs.)'!R34</f>
        <v>65760</v>
      </c>
      <c r="S34" s="53">
        <f>'[3]Forecast (pcs.)'!S34</f>
        <v>66960</v>
      </c>
      <c r="T34" s="53">
        <f>'[3]Forecast (pcs.)'!T34</f>
        <v>66960</v>
      </c>
      <c r="U34" s="53">
        <f>'[3]Forecast (pcs.)'!U34</f>
        <v>72648</v>
      </c>
      <c r="V34" s="53">
        <f>'[3]Forecast (pcs.)'!V34</f>
        <v>74744</v>
      </c>
      <c r="W34" s="53">
        <f>'[3]Forecast (pcs.)'!W34</f>
        <v>63695.180295818776</v>
      </c>
      <c r="X34" s="53">
        <f>'[3]Forecast (pcs.)'!X34</f>
        <v>61198.511579542443</v>
      </c>
      <c r="Y34" s="53">
        <f>'[3]Forecast (pcs.)'!Y34</f>
        <v>63712.950179920386</v>
      </c>
      <c r="Z34" s="53">
        <f>'[3]Forecast (pcs.)'!Z34</f>
        <v>64302.668015492483</v>
      </c>
      <c r="AA34" s="53">
        <f>'[3]Forecast (pcs.)'!AA34</f>
        <v>62619.779167867557</v>
      </c>
      <c r="AB34" s="53">
        <f>'[3]Forecast (pcs.)'!AB34</f>
        <v>52413.541168779644</v>
      </c>
      <c r="AD34" s="6">
        <f t="shared" si="1"/>
        <v>66845.333333333328</v>
      </c>
    </row>
    <row r="35" spans="1:30" ht="15" customHeight="1" x14ac:dyDescent="0.25">
      <c r="A35" s="2">
        <v>5475</v>
      </c>
      <c r="B35" s="15" t="s">
        <v>291</v>
      </c>
      <c r="C35" s="20">
        <v>5475</v>
      </c>
      <c r="D35" s="16" t="s">
        <v>307</v>
      </c>
      <c r="E35" s="17">
        <v>7.57</v>
      </c>
      <c r="F35" s="18">
        <v>2100</v>
      </c>
      <c r="G35" s="21">
        <v>3000</v>
      </c>
      <c r="H35" s="23">
        <v>1800</v>
      </c>
      <c r="I35" s="22">
        <v>2700</v>
      </c>
      <c r="J35" s="22">
        <v>2700</v>
      </c>
      <c r="K35" s="22">
        <v>2100</v>
      </c>
      <c r="L35" s="22">
        <v>600</v>
      </c>
      <c r="M35" s="22">
        <v>1800</v>
      </c>
      <c r="N35" s="22">
        <v>600</v>
      </c>
      <c r="O35" s="22">
        <v>0</v>
      </c>
      <c r="P35" s="22">
        <v>900</v>
      </c>
      <c r="Q35" s="53">
        <f>'[3]Forecast (pcs.)'!Q35</f>
        <v>1800</v>
      </c>
      <c r="R35" s="53">
        <f>'[3]Forecast (pcs.)'!R35</f>
        <v>2400</v>
      </c>
      <c r="S35" s="53">
        <f>'[3]Forecast (pcs.)'!S35</f>
        <v>2100</v>
      </c>
      <c r="T35" s="53">
        <f>'[3]Forecast (pcs.)'!T35</f>
        <v>1200</v>
      </c>
      <c r="U35" s="53">
        <f>'[3]Forecast (pcs.)'!U35</f>
        <v>1871</v>
      </c>
      <c r="V35" s="53">
        <f>'[3]Forecast (pcs.)'!V35</f>
        <v>1516</v>
      </c>
      <c r="W35" s="53">
        <f>'[3]Forecast (pcs.)'!W35</f>
        <v>1983.9482387222242</v>
      </c>
      <c r="X35" s="53">
        <f>'[3]Forecast (pcs.)'!X35</f>
        <v>1906.1831475595186</v>
      </c>
      <c r="Y35" s="53">
        <f>'[3]Forecast (pcs.)'!Y35</f>
        <v>1984.501726915553</v>
      </c>
      <c r="Z35" s="53">
        <f>'[3]Forecast (pcs.)'!Z35</f>
        <v>2002.8699873677986</v>
      </c>
      <c r="AA35" s="53">
        <f>'[3]Forecast (pcs.)'!AA35</f>
        <v>1950.4521380155468</v>
      </c>
      <c r="AB35" s="53">
        <f>'[3]Forecast (pcs.)'!AB35</f>
        <v>1632.5529216505136</v>
      </c>
      <c r="AD35" s="6">
        <f t="shared" si="1"/>
        <v>1814.5</v>
      </c>
    </row>
    <row r="36" spans="1:30" ht="15" customHeight="1" x14ac:dyDescent="0.25">
      <c r="A36" s="2">
        <v>5476</v>
      </c>
      <c r="B36" s="15" t="s">
        <v>291</v>
      </c>
      <c r="C36" s="20">
        <v>5476</v>
      </c>
      <c r="D36" s="16" t="s">
        <v>308</v>
      </c>
      <c r="E36" s="17">
        <v>17.09</v>
      </c>
      <c r="F36" s="18">
        <v>0</v>
      </c>
      <c r="G36" s="21">
        <v>0</v>
      </c>
      <c r="H36" s="23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53">
        <f>'[3]Forecast (pcs.)'!Q36</f>
        <v>0</v>
      </c>
      <c r="R36" s="53">
        <f>'[3]Forecast (pcs.)'!R36</f>
        <v>0</v>
      </c>
      <c r="S36" s="53">
        <f>'[3]Forecast (pcs.)'!S36</f>
        <v>0</v>
      </c>
      <c r="T36" s="53">
        <f>'[3]Forecast (pcs.)'!T36</f>
        <v>0</v>
      </c>
      <c r="U36" s="53">
        <f>'[3]Forecast (pcs.)'!U36</f>
        <v>0</v>
      </c>
      <c r="V36" s="53">
        <f>'[3]Forecast (pcs.)'!V36</f>
        <v>0</v>
      </c>
      <c r="W36" s="53">
        <f>'[3]Forecast (pcs.)'!W36</f>
        <v>0</v>
      </c>
      <c r="X36" s="53">
        <f>'[3]Forecast (pcs.)'!X36</f>
        <v>0</v>
      </c>
      <c r="Y36" s="53">
        <f>'[3]Forecast (pcs.)'!Y36</f>
        <v>0</v>
      </c>
      <c r="Z36" s="53">
        <f>'[3]Forecast (pcs.)'!Z36</f>
        <v>0</v>
      </c>
      <c r="AA36" s="53">
        <f>'[3]Forecast (pcs.)'!AA36</f>
        <v>0</v>
      </c>
      <c r="AB36" s="53">
        <f>'[3]Forecast (pcs.)'!AB36</f>
        <v>0</v>
      </c>
      <c r="AD36" s="6">
        <f t="shared" si="1"/>
        <v>0</v>
      </c>
    </row>
    <row r="37" spans="1:30" ht="15" customHeight="1" x14ac:dyDescent="0.25">
      <c r="A37" s="2">
        <v>5478</v>
      </c>
      <c r="B37" s="15" t="s">
        <v>291</v>
      </c>
      <c r="C37" s="20">
        <v>5478</v>
      </c>
      <c r="D37" s="16" t="s">
        <v>309</v>
      </c>
      <c r="E37" s="17">
        <v>8.49</v>
      </c>
      <c r="F37" s="18">
        <v>38880</v>
      </c>
      <c r="G37" s="21">
        <v>51840</v>
      </c>
      <c r="H37" s="23">
        <v>51840</v>
      </c>
      <c r="I37" s="22">
        <v>64800</v>
      </c>
      <c r="J37" s="22">
        <v>60480</v>
      </c>
      <c r="K37" s="22">
        <v>56160</v>
      </c>
      <c r="L37" s="22">
        <v>64800</v>
      </c>
      <c r="M37" s="22">
        <v>56160</v>
      </c>
      <c r="N37" s="22">
        <v>56160</v>
      </c>
      <c r="O37" s="22">
        <v>56160</v>
      </c>
      <c r="P37" s="22">
        <v>56160</v>
      </c>
      <c r="Q37" s="53">
        <f>'[3]Forecast (pcs.)'!Q37</f>
        <v>56160</v>
      </c>
      <c r="R37" s="53">
        <f>'[3]Forecast (pcs.)'!R37</f>
        <v>60480</v>
      </c>
      <c r="S37" s="53">
        <f>'[3]Forecast (pcs.)'!S37</f>
        <v>64800</v>
      </c>
      <c r="T37" s="53">
        <f>'[3]Forecast (pcs.)'!T37</f>
        <v>64800</v>
      </c>
      <c r="U37" s="53">
        <f>'[3]Forecast (pcs.)'!U37</f>
        <v>71903</v>
      </c>
      <c r="V37" s="53">
        <f>'[3]Forecast (pcs.)'!V37</f>
        <v>73955</v>
      </c>
      <c r="W37" s="53">
        <f>'[3]Forecast (pcs.)'!W37</f>
        <v>62400.393024231642</v>
      </c>
      <c r="X37" s="53">
        <f>'[3]Forecast (pcs.)'!X37</f>
        <v>59954.476262187811</v>
      </c>
      <c r="Y37" s="53">
        <f>'[3]Forecast (pcs.)'!Y37</f>
        <v>62417.801684459708</v>
      </c>
      <c r="Z37" s="53">
        <f>'[3]Forecast (pcs.)'!Z37</f>
        <v>62995.531813210335</v>
      </c>
      <c r="AA37" s="53">
        <f>'[3]Forecast (pcs.)'!AA37</f>
        <v>61346.852509373202</v>
      </c>
      <c r="AB37" s="53">
        <f>'[3]Forecast (pcs.)'!AB37</f>
        <v>51348.085577807731</v>
      </c>
      <c r="AD37" s="6">
        <f t="shared" si="1"/>
        <v>65349.666666666664</v>
      </c>
    </row>
    <row r="38" spans="1:30" ht="15" customHeight="1" x14ac:dyDescent="0.25">
      <c r="A38" s="2">
        <v>5483</v>
      </c>
      <c r="B38" s="15" t="s">
        <v>291</v>
      </c>
      <c r="C38" s="20">
        <v>5483</v>
      </c>
      <c r="D38" s="16" t="s">
        <v>310</v>
      </c>
      <c r="E38" s="17">
        <v>10.75</v>
      </c>
      <c r="F38" s="18">
        <v>28800</v>
      </c>
      <c r="G38" s="21">
        <v>32400</v>
      </c>
      <c r="H38" s="23">
        <v>10800</v>
      </c>
      <c r="I38" s="22">
        <v>21600</v>
      </c>
      <c r="J38" s="22">
        <v>14400</v>
      </c>
      <c r="K38" s="22">
        <v>21600</v>
      </c>
      <c r="L38" s="22">
        <v>18000</v>
      </c>
      <c r="M38" s="22">
        <v>18400</v>
      </c>
      <c r="N38" s="22">
        <v>21600</v>
      </c>
      <c r="O38" s="22">
        <v>25200</v>
      </c>
      <c r="P38" s="22">
        <v>21600</v>
      </c>
      <c r="Q38" s="53">
        <f>'[3]Forecast (pcs.)'!Q38</f>
        <v>21600</v>
      </c>
      <c r="R38" s="53">
        <f>'[3]Forecast (pcs.)'!R38</f>
        <v>21603</v>
      </c>
      <c r="S38" s="53">
        <f>'[3]Forecast (pcs.)'!S38</f>
        <v>21600</v>
      </c>
      <c r="T38" s="53">
        <f>'[3]Forecast (pcs.)'!T38</f>
        <v>18000</v>
      </c>
      <c r="U38" s="53">
        <f>'[3]Forecast (pcs.)'!U38</f>
        <v>21713</v>
      </c>
      <c r="V38" s="53">
        <f>'[3]Forecast (pcs.)'!V38</f>
        <v>19319</v>
      </c>
      <c r="W38" s="53">
        <f>'[3]Forecast (pcs.)'!W38</f>
        <v>21928.371045940035</v>
      </c>
      <c r="X38" s="53">
        <f>'[3]Forecast (pcs.)'!X38</f>
        <v>21068.841679117722</v>
      </c>
      <c r="Y38" s="53">
        <f>'[3]Forecast (pcs.)'!Y38</f>
        <v>21934.488692678984</v>
      </c>
      <c r="Z38" s="53">
        <f>'[3]Forecast (pcs.)'!Z38</f>
        <v>22137.511141956555</v>
      </c>
      <c r="AA38" s="53">
        <f>'[3]Forecast (pcs.)'!AA38</f>
        <v>21558.142170734471</v>
      </c>
      <c r="AB38" s="53">
        <f>'[3]Forecast (pcs.)'!AB38</f>
        <v>18044.435595327162</v>
      </c>
      <c r="AD38" s="6">
        <f t="shared" si="1"/>
        <v>20639.166666666668</v>
      </c>
    </row>
    <row r="39" spans="1:30" ht="15" customHeight="1" x14ac:dyDescent="0.25">
      <c r="A39" s="2">
        <v>5484</v>
      </c>
      <c r="B39" s="15" t="s">
        <v>291</v>
      </c>
      <c r="C39" s="20">
        <v>5484</v>
      </c>
      <c r="D39" s="16" t="s">
        <v>311</v>
      </c>
      <c r="E39" s="17">
        <v>21.4</v>
      </c>
      <c r="F39" s="18">
        <v>0</v>
      </c>
      <c r="G39" s="21">
        <v>1800</v>
      </c>
      <c r="H39" s="23">
        <v>1800</v>
      </c>
      <c r="I39" s="22">
        <v>1800</v>
      </c>
      <c r="J39" s="22">
        <v>2600</v>
      </c>
      <c r="K39" s="22">
        <v>0</v>
      </c>
      <c r="L39" s="22">
        <v>1800</v>
      </c>
      <c r="M39" s="22">
        <v>0</v>
      </c>
      <c r="N39" s="22">
        <v>0</v>
      </c>
      <c r="O39" s="22">
        <v>0</v>
      </c>
      <c r="P39" s="22">
        <v>0</v>
      </c>
      <c r="Q39" s="53">
        <f>'[3]Forecast (pcs.)'!Q39</f>
        <v>1800</v>
      </c>
      <c r="R39" s="53">
        <f>'[3]Forecast (pcs.)'!R39</f>
        <v>0</v>
      </c>
      <c r="S39" s="53">
        <f>'[3]Forecast (pcs.)'!S39</f>
        <v>1800</v>
      </c>
      <c r="T39" s="53">
        <f>'[3]Forecast (pcs.)'!T39</f>
        <v>0</v>
      </c>
      <c r="U39" s="53">
        <f>'[3]Forecast (pcs.)'!U39</f>
        <v>1800</v>
      </c>
      <c r="V39" s="53">
        <f>'[3]Forecast (pcs.)'!V39</f>
        <v>0</v>
      </c>
      <c r="W39" s="53">
        <f>'[3]Forecast (pcs.)'!W39</f>
        <v>1253.0199402456153</v>
      </c>
      <c r="X39" s="53">
        <f>'[3]Forecast (pcs.)'!X39</f>
        <v>1203.9051458270644</v>
      </c>
      <c r="Y39" s="53">
        <f>'[3]Forecast (pcs.)'!Y39</f>
        <v>1253.3695117361387</v>
      </c>
      <c r="Z39" s="53">
        <f>'[3]Forecast (pcs.)'!Z39</f>
        <v>1264.970518337557</v>
      </c>
      <c r="AA39" s="53">
        <f>'[3]Forecast (pcs.)'!AA39</f>
        <v>1231.8645082203454</v>
      </c>
      <c r="AB39" s="53">
        <f>'[3]Forecast (pcs.)'!AB39</f>
        <v>1031.0860557792716</v>
      </c>
      <c r="AD39" s="6">
        <f t="shared" si="1"/>
        <v>900</v>
      </c>
    </row>
    <row r="40" spans="1:30" ht="15" customHeight="1" x14ac:dyDescent="0.25">
      <c r="A40" s="2">
        <v>5485</v>
      </c>
      <c r="B40" s="24" t="s">
        <v>291</v>
      </c>
      <c r="C40" s="25">
        <v>5485</v>
      </c>
      <c r="D40" s="26" t="s">
        <v>312</v>
      </c>
      <c r="E40" s="17">
        <v>11.33</v>
      </c>
      <c r="F40" s="27">
        <v>0</v>
      </c>
      <c r="G40" s="28">
        <v>0</v>
      </c>
      <c r="H40" s="29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53">
        <f>'[3]Forecast (pcs.)'!Q40</f>
        <v>0</v>
      </c>
      <c r="R40" s="53">
        <f>'[3]Forecast (pcs.)'!R40</f>
        <v>0</v>
      </c>
      <c r="S40" s="53">
        <f>'[3]Forecast (pcs.)'!S40</f>
        <v>100</v>
      </c>
      <c r="T40" s="53">
        <f>'[3]Forecast (pcs.)'!T40</f>
        <v>0</v>
      </c>
      <c r="U40" s="53">
        <f>'[3]Forecast (pcs.)'!U40</f>
        <v>0</v>
      </c>
      <c r="V40" s="53">
        <f>'[3]Forecast (pcs.)'!V40</f>
        <v>0</v>
      </c>
      <c r="W40" s="53">
        <f>'[3]Forecast (pcs.)'!W40</f>
        <v>17.403054725633545</v>
      </c>
      <c r="X40" s="53">
        <f>'[3]Forecast (pcs.)'!X40</f>
        <v>16.720904803153672</v>
      </c>
      <c r="Y40" s="53">
        <f>'[3]Forecast (pcs.)'!Y40</f>
        <v>17.40790988522415</v>
      </c>
      <c r="Z40" s="53">
        <f>'[3]Forecast (pcs.)'!Z40</f>
        <v>17.569034976910515</v>
      </c>
      <c r="AA40" s="53">
        <f>'[3]Forecast (pcs.)'!AA40</f>
        <v>17.109229280838132</v>
      </c>
      <c r="AB40" s="53">
        <f>'[3]Forecast (pcs.)'!AB40</f>
        <v>14.320639663600998</v>
      </c>
      <c r="AD40" s="6">
        <f t="shared" si="1"/>
        <v>16.666666666666668</v>
      </c>
    </row>
    <row r="41" spans="1:30" ht="15" customHeight="1" x14ac:dyDescent="0.25">
      <c r="A41" s="2">
        <v>5494</v>
      </c>
      <c r="B41" s="15" t="s">
        <v>291</v>
      </c>
      <c r="C41" s="20">
        <v>5494</v>
      </c>
      <c r="D41" s="16" t="s">
        <v>313</v>
      </c>
      <c r="E41" s="17">
        <v>6.65</v>
      </c>
      <c r="F41" s="18">
        <v>0</v>
      </c>
      <c r="G41" s="21">
        <v>0</v>
      </c>
      <c r="H41" s="23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53">
        <f>'[3]Forecast (pcs.)'!Q41</f>
        <v>0</v>
      </c>
      <c r="R41" s="53">
        <f>'[3]Forecast (pcs.)'!R41</f>
        <v>0</v>
      </c>
      <c r="S41" s="53">
        <f>'[3]Forecast (pcs.)'!S41</f>
        <v>0</v>
      </c>
      <c r="T41" s="53">
        <f>'[3]Forecast (pcs.)'!T41</f>
        <v>0</v>
      </c>
      <c r="U41" s="53">
        <f>'[3]Forecast (pcs.)'!U41</f>
        <v>0</v>
      </c>
      <c r="V41" s="53">
        <f>'[3]Forecast (pcs.)'!V41</f>
        <v>0</v>
      </c>
      <c r="W41" s="53">
        <f>'[3]Forecast (pcs.)'!W41</f>
        <v>0</v>
      </c>
      <c r="X41" s="53">
        <f>'[3]Forecast (pcs.)'!X41</f>
        <v>0</v>
      </c>
      <c r="Y41" s="53">
        <f>'[3]Forecast (pcs.)'!Y41</f>
        <v>0</v>
      </c>
      <c r="Z41" s="53">
        <f>'[3]Forecast (pcs.)'!Z41</f>
        <v>0</v>
      </c>
      <c r="AA41" s="53">
        <f>'[3]Forecast (pcs.)'!AA41</f>
        <v>0</v>
      </c>
      <c r="AB41" s="53">
        <f>'[3]Forecast (pcs.)'!AB41</f>
        <v>0</v>
      </c>
      <c r="AD41" s="6">
        <f t="shared" si="1"/>
        <v>0</v>
      </c>
    </row>
    <row r="42" spans="1:30" ht="15" customHeight="1" x14ac:dyDescent="0.25">
      <c r="A42" s="2">
        <v>5515</v>
      </c>
      <c r="B42" s="15" t="s">
        <v>291</v>
      </c>
      <c r="C42" s="20">
        <v>5515</v>
      </c>
      <c r="D42" s="16" t="s">
        <v>314</v>
      </c>
      <c r="E42" s="17">
        <v>6.58</v>
      </c>
      <c r="F42" s="18">
        <v>4500</v>
      </c>
      <c r="G42" s="21">
        <v>6000</v>
      </c>
      <c r="H42" s="23">
        <v>6000</v>
      </c>
      <c r="I42" s="22">
        <v>6000</v>
      </c>
      <c r="J42" s="22">
        <v>1500</v>
      </c>
      <c r="K42" s="22">
        <v>4500</v>
      </c>
      <c r="L42" s="22">
        <v>3000</v>
      </c>
      <c r="M42" s="22">
        <v>3000</v>
      </c>
      <c r="N42" s="22">
        <v>1500</v>
      </c>
      <c r="O42" s="22">
        <v>1500</v>
      </c>
      <c r="P42" s="22">
        <v>2000</v>
      </c>
      <c r="Q42" s="53">
        <f>'[3]Forecast (pcs.)'!Q42</f>
        <v>3000</v>
      </c>
      <c r="R42" s="53">
        <f>'[3]Forecast (pcs.)'!R42</f>
        <v>3000</v>
      </c>
      <c r="S42" s="53">
        <f>'[3]Forecast (pcs.)'!S42</f>
        <v>4500</v>
      </c>
      <c r="T42" s="53">
        <f>'[3]Forecast (pcs.)'!T42</f>
        <v>3000</v>
      </c>
      <c r="U42" s="53">
        <f>'[3]Forecast (pcs.)'!U42</f>
        <v>5553</v>
      </c>
      <c r="V42" s="53">
        <f>'[3]Forecast (pcs.)'!V42</f>
        <v>3118</v>
      </c>
      <c r="W42" s="53">
        <f>'[3]Forecast (pcs.)'!W42</f>
        <v>3393.5956714985414</v>
      </c>
      <c r="X42" s="53">
        <f>'[3]Forecast (pcs.)'!X42</f>
        <v>3260.576436614966</v>
      </c>
      <c r="Y42" s="53">
        <f>'[3]Forecast (pcs.)'!Y42</f>
        <v>3394.5424276187091</v>
      </c>
      <c r="Z42" s="53">
        <f>'[3]Forecast (pcs.)'!Z42</f>
        <v>3425.96182049755</v>
      </c>
      <c r="AA42" s="53">
        <f>'[3]Forecast (pcs.)'!AA42</f>
        <v>3336.2997097634352</v>
      </c>
      <c r="AB42" s="53">
        <f>'[3]Forecast (pcs.)'!AB42</f>
        <v>2792.5247344021941</v>
      </c>
      <c r="AD42" s="6">
        <f t="shared" si="1"/>
        <v>3695.1666666666665</v>
      </c>
    </row>
    <row r="43" spans="1:30" ht="15" customHeight="1" x14ac:dyDescent="0.25">
      <c r="A43" s="2">
        <v>5519</v>
      </c>
      <c r="B43" s="15" t="s">
        <v>291</v>
      </c>
      <c r="C43" s="20">
        <v>5519</v>
      </c>
      <c r="D43" s="16" t="s">
        <v>315</v>
      </c>
      <c r="E43" s="17">
        <v>20.79</v>
      </c>
      <c r="F43" s="18">
        <v>0</v>
      </c>
      <c r="G43" s="21">
        <v>2160</v>
      </c>
      <c r="H43" s="6">
        <v>2160</v>
      </c>
      <c r="I43" s="22">
        <v>2160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1080</v>
      </c>
      <c r="Q43" s="53">
        <f>'[3]Forecast (pcs.)'!Q43</f>
        <v>0</v>
      </c>
      <c r="R43" s="53">
        <f>'[3]Forecast (pcs.)'!R43</f>
        <v>2160</v>
      </c>
      <c r="S43" s="53">
        <f>'[3]Forecast (pcs.)'!S43</f>
        <v>2160</v>
      </c>
      <c r="T43" s="53">
        <f>'[3]Forecast (pcs.)'!T43</f>
        <v>0</v>
      </c>
      <c r="U43" s="53">
        <f>'[3]Forecast (pcs.)'!U43</f>
        <v>0</v>
      </c>
      <c r="V43" s="53">
        <f>'[3]Forecast (pcs.)'!V43</f>
        <v>2160</v>
      </c>
      <c r="W43" s="53">
        <f>'[3]Forecast (pcs.)'!W43</f>
        <v>751.81196414736917</v>
      </c>
      <c r="X43" s="53">
        <f>'[3]Forecast (pcs.)'!X43</f>
        <v>722.3430874962387</v>
      </c>
      <c r="Y43" s="53">
        <f>'[3]Forecast (pcs.)'!Y43</f>
        <v>752.02170704168327</v>
      </c>
      <c r="Z43" s="53">
        <f>'[3]Forecast (pcs.)'!Z43</f>
        <v>758.98231100253417</v>
      </c>
      <c r="AA43" s="53">
        <f>'[3]Forecast (pcs.)'!AA43</f>
        <v>739.11870493220727</v>
      </c>
      <c r="AB43" s="53">
        <f>'[3]Forecast (pcs.)'!AB43</f>
        <v>618.65163346756299</v>
      </c>
      <c r="AD43" s="6">
        <f t="shared" si="1"/>
        <v>1080</v>
      </c>
    </row>
    <row r="44" spans="1:30" ht="15" customHeight="1" x14ac:dyDescent="0.25">
      <c r="A44" s="2">
        <v>5956</v>
      </c>
      <c r="B44" s="15" t="s">
        <v>316</v>
      </c>
      <c r="C44" s="20">
        <v>5956</v>
      </c>
      <c r="D44" s="16" t="s">
        <v>317</v>
      </c>
      <c r="E44" s="17">
        <v>9.84</v>
      </c>
      <c r="F44" s="18">
        <v>6418</v>
      </c>
      <c r="G44" s="21">
        <v>8221</v>
      </c>
      <c r="H44" s="23">
        <v>2761</v>
      </c>
      <c r="I44" s="22">
        <v>6341</v>
      </c>
      <c r="J44" s="22">
        <v>7410</v>
      </c>
      <c r="K44" s="22">
        <v>4756</v>
      </c>
      <c r="L44" s="22">
        <v>0</v>
      </c>
      <c r="M44" s="22">
        <v>8155</v>
      </c>
      <c r="N44" s="22">
        <v>5913</v>
      </c>
      <c r="O44" s="22">
        <v>1806</v>
      </c>
      <c r="P44" s="22">
        <v>10194</v>
      </c>
      <c r="Q44" s="53">
        <f>'[3]Forecast (pcs.)'!Q44</f>
        <v>0</v>
      </c>
      <c r="R44" s="53">
        <f>'[3]Forecast (pcs.)'!R44</f>
        <v>5000</v>
      </c>
      <c r="S44" s="53">
        <f>'[3]Forecast (pcs.)'!S44</f>
        <v>6000</v>
      </c>
      <c r="T44" s="53">
        <f>'[3]Forecast (pcs.)'!T44</f>
        <v>3400</v>
      </c>
      <c r="U44" s="53">
        <f>'[3]Forecast (pcs.)'!U44</f>
        <v>3200</v>
      </c>
      <c r="V44" s="53">
        <f>'[3]Forecast (pcs.)'!V44</f>
        <v>3400</v>
      </c>
      <c r="W44" s="53">
        <f>'[3]Forecast (pcs.)'!W44</f>
        <v>2600</v>
      </c>
      <c r="X44" s="53">
        <f>'[3]Forecast (pcs.)'!X44</f>
        <v>2200</v>
      </c>
      <c r="Y44" s="53">
        <f>'[3]Forecast (pcs.)'!Y44</f>
        <v>2600</v>
      </c>
      <c r="Z44" s="53">
        <f>'[3]Forecast (pcs.)'!Z44</f>
        <v>2600</v>
      </c>
      <c r="AA44" s="53">
        <f>'[3]Forecast (pcs.)'!AA44</f>
        <v>1800</v>
      </c>
      <c r="AB44" s="53">
        <f>'[3]Forecast (pcs.)'!AB44</f>
        <v>2000</v>
      </c>
      <c r="AD44" s="6">
        <f>AVERAGE(Q44:S44)</f>
        <v>3666.6666666666665</v>
      </c>
    </row>
    <row r="45" spans="1:30" ht="15" customHeight="1" x14ac:dyDescent="0.25">
      <c r="A45" s="2">
        <v>5469</v>
      </c>
      <c r="B45" s="15" t="s">
        <v>47</v>
      </c>
      <c r="C45" s="20">
        <v>5469</v>
      </c>
      <c r="D45" s="16" t="s">
        <v>318</v>
      </c>
      <c r="E45" s="17">
        <v>62.16</v>
      </c>
      <c r="F45" s="18">
        <v>0</v>
      </c>
      <c r="G45" s="21">
        <v>0</v>
      </c>
      <c r="H45" s="6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53">
        <f>'[3]Forecast (pcs.)'!Q45</f>
        <v>0</v>
      </c>
      <c r="R45" s="53">
        <f>'[3]Forecast (pcs.)'!R45</f>
        <v>0</v>
      </c>
      <c r="S45" s="53">
        <f>'[3]Forecast (pcs.)'!S45</f>
        <v>200</v>
      </c>
      <c r="T45" s="53">
        <f>'[3]Forecast (pcs.)'!T45</f>
        <v>0</v>
      </c>
      <c r="U45" s="53">
        <f>'[3]Forecast (pcs.)'!U45</f>
        <v>0</v>
      </c>
      <c r="V45" s="53">
        <f>'[3]Forecast (pcs.)'!V45</f>
        <v>0</v>
      </c>
      <c r="W45" s="53">
        <f>'[3]Forecast (pcs.)'!W45</f>
        <v>0</v>
      </c>
      <c r="X45" s="53">
        <f>'[3]Forecast (pcs.)'!X45</f>
        <v>0</v>
      </c>
      <c r="Y45" s="53">
        <f>'[3]Forecast (pcs.)'!Y45</f>
        <v>0</v>
      </c>
      <c r="Z45" s="53">
        <f>'[3]Forecast (pcs.)'!Z45</f>
        <v>0</v>
      </c>
      <c r="AA45" s="53">
        <f>'[3]Forecast (pcs.)'!AA45</f>
        <v>0</v>
      </c>
      <c r="AB45" s="53">
        <f>'[3]Forecast (pcs.)'!AB45</f>
        <v>0</v>
      </c>
      <c r="AD45" s="6">
        <f t="shared" ref="AD45:AD51" si="2">AVERAGE(Q45:AB45)</f>
        <v>16.666666666666668</v>
      </c>
    </row>
    <row r="46" spans="1:30" ht="15" customHeight="1" x14ac:dyDescent="0.25">
      <c r="A46" s="2">
        <v>5473</v>
      </c>
      <c r="B46" s="15" t="s">
        <v>47</v>
      </c>
      <c r="C46" s="20">
        <v>5473</v>
      </c>
      <c r="D46" s="16" t="s">
        <v>319</v>
      </c>
      <c r="E46" s="17">
        <v>37.5</v>
      </c>
      <c r="F46" s="18">
        <v>0</v>
      </c>
      <c r="G46" s="21">
        <v>0</v>
      </c>
      <c r="H46" s="6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53">
        <f>'[3]Forecast (pcs.)'!Q46</f>
        <v>0</v>
      </c>
      <c r="R46" s="53">
        <f>'[3]Forecast (pcs.)'!R46</f>
        <v>0</v>
      </c>
      <c r="S46" s="53">
        <f>'[3]Forecast (pcs.)'!S46</f>
        <v>0</v>
      </c>
      <c r="T46" s="53">
        <f>'[3]Forecast (pcs.)'!T46</f>
        <v>0</v>
      </c>
      <c r="U46" s="53">
        <f>'[3]Forecast (pcs.)'!U46</f>
        <v>0</v>
      </c>
      <c r="V46" s="53">
        <f>'[3]Forecast (pcs.)'!V46</f>
        <v>0</v>
      </c>
      <c r="W46" s="53">
        <f>'[3]Forecast (pcs.)'!W46</f>
        <v>0</v>
      </c>
      <c r="X46" s="53">
        <f>'[3]Forecast (pcs.)'!X46</f>
        <v>0</v>
      </c>
      <c r="Y46" s="53">
        <f>'[3]Forecast (pcs.)'!Y46</f>
        <v>0</v>
      </c>
      <c r="Z46" s="53">
        <f>'[3]Forecast (pcs.)'!Z46</f>
        <v>0</v>
      </c>
      <c r="AA46" s="53">
        <f>'[3]Forecast (pcs.)'!AA46</f>
        <v>0</v>
      </c>
      <c r="AB46" s="53">
        <f>'[3]Forecast (pcs.)'!AB46</f>
        <v>0</v>
      </c>
      <c r="AD46" s="6">
        <f t="shared" si="2"/>
        <v>0</v>
      </c>
    </row>
    <row r="47" spans="1:30" ht="15" customHeight="1" x14ac:dyDescent="0.25">
      <c r="A47" s="2">
        <v>5474</v>
      </c>
      <c r="B47" s="15" t="s">
        <v>47</v>
      </c>
      <c r="C47" s="20">
        <v>5474</v>
      </c>
      <c r="D47" s="16" t="s">
        <v>131</v>
      </c>
      <c r="E47" s="17">
        <v>35.5</v>
      </c>
      <c r="F47" s="18">
        <v>0</v>
      </c>
      <c r="G47" s="21">
        <v>0</v>
      </c>
      <c r="H47" s="6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53">
        <f>'[3]Forecast (pcs.)'!Q47</f>
        <v>0</v>
      </c>
      <c r="R47" s="53">
        <f>'[3]Forecast (pcs.)'!R47</f>
        <v>0</v>
      </c>
      <c r="S47" s="53">
        <f>'[3]Forecast (pcs.)'!S47</f>
        <v>0</v>
      </c>
      <c r="T47" s="53">
        <f>'[3]Forecast (pcs.)'!T47</f>
        <v>0</v>
      </c>
      <c r="U47" s="53">
        <f>'[3]Forecast (pcs.)'!U47</f>
        <v>0</v>
      </c>
      <c r="V47" s="53">
        <f>'[3]Forecast (pcs.)'!V47</f>
        <v>0</v>
      </c>
      <c r="W47" s="53">
        <f>'[3]Forecast (pcs.)'!W47</f>
        <v>0</v>
      </c>
      <c r="X47" s="53">
        <f>'[3]Forecast (pcs.)'!X47</f>
        <v>0</v>
      </c>
      <c r="Y47" s="53">
        <f>'[3]Forecast (pcs.)'!Y47</f>
        <v>0</v>
      </c>
      <c r="Z47" s="53">
        <f>'[3]Forecast (pcs.)'!Z47</f>
        <v>0</v>
      </c>
      <c r="AA47" s="53">
        <f>'[3]Forecast (pcs.)'!AA47</f>
        <v>0</v>
      </c>
      <c r="AB47" s="53">
        <f>'[3]Forecast (pcs.)'!AB47</f>
        <v>0</v>
      </c>
      <c r="AD47" s="6">
        <f t="shared" si="2"/>
        <v>0</v>
      </c>
    </row>
    <row r="48" spans="1:30" ht="15" customHeight="1" x14ac:dyDescent="0.25">
      <c r="A48" s="2">
        <v>5501</v>
      </c>
      <c r="B48" s="15" t="s">
        <v>47</v>
      </c>
      <c r="C48" s="20">
        <v>5501</v>
      </c>
      <c r="D48" s="16" t="s">
        <v>320</v>
      </c>
      <c r="E48" s="17">
        <v>46.94</v>
      </c>
      <c r="F48" s="18">
        <v>5405</v>
      </c>
      <c r="G48" s="21">
        <v>6400</v>
      </c>
      <c r="H48" s="6">
        <v>8000</v>
      </c>
      <c r="I48" s="22">
        <v>7000</v>
      </c>
      <c r="J48" s="22">
        <v>6800</v>
      </c>
      <c r="K48" s="22">
        <v>1200</v>
      </c>
      <c r="L48" s="22">
        <v>0</v>
      </c>
      <c r="M48" s="22">
        <v>2000</v>
      </c>
      <c r="N48" s="22">
        <v>4800</v>
      </c>
      <c r="O48" s="22">
        <v>5000</v>
      </c>
      <c r="P48" s="22">
        <v>5400</v>
      </c>
      <c r="Q48" s="53">
        <f>'[3]Forecast (pcs.)'!Q48</f>
        <v>202</v>
      </c>
      <c r="R48" s="53">
        <f>'[3]Forecast (pcs.)'!R48</f>
        <v>3198</v>
      </c>
      <c r="S48" s="53">
        <f>'[3]Forecast (pcs.)'!S48</f>
        <v>8278</v>
      </c>
      <c r="T48" s="53">
        <f>'[3]Forecast (pcs.)'!T48</f>
        <v>10000</v>
      </c>
      <c r="U48" s="53">
        <f>'[3]Forecast (pcs.)'!U48</f>
        <v>5414</v>
      </c>
      <c r="V48" s="53">
        <f>'[3]Forecast (pcs.)'!V48</f>
        <v>3794</v>
      </c>
      <c r="W48" s="53">
        <f>'[3]Forecast (pcs.)'!W48</f>
        <v>3986</v>
      </c>
      <c r="X48" s="53">
        <f>'[3]Forecast (pcs.)'!X48</f>
        <v>3132</v>
      </c>
      <c r="Y48" s="53">
        <f>'[3]Forecast (pcs.)'!Y48</f>
        <v>2414</v>
      </c>
      <c r="Z48" s="53">
        <f>'[3]Forecast (pcs.)'!Z48</f>
        <v>3708</v>
      </c>
      <c r="AA48" s="53">
        <f>'[3]Forecast (pcs.)'!AA48</f>
        <v>4130</v>
      </c>
      <c r="AB48" s="53">
        <f>'[3]Forecast (pcs.)'!AB48</f>
        <v>4584</v>
      </c>
      <c r="AD48" s="6">
        <f t="shared" si="2"/>
        <v>4403.333333333333</v>
      </c>
    </row>
    <row r="49" spans="1:30" ht="15" customHeight="1" x14ac:dyDescent="0.25">
      <c r="A49" s="2">
        <v>5502</v>
      </c>
      <c r="B49" s="15" t="s">
        <v>47</v>
      </c>
      <c r="C49" s="20">
        <v>5502</v>
      </c>
      <c r="D49" s="16" t="s">
        <v>96</v>
      </c>
      <c r="E49" s="17">
        <v>35.82</v>
      </c>
      <c r="F49" s="18">
        <v>9000</v>
      </c>
      <c r="G49" s="21">
        <v>10600</v>
      </c>
      <c r="H49" s="6">
        <v>9000</v>
      </c>
      <c r="I49" s="22">
        <v>7087</v>
      </c>
      <c r="J49" s="22">
        <v>12213</v>
      </c>
      <c r="K49" s="22">
        <v>1700</v>
      </c>
      <c r="L49" s="22">
        <v>0</v>
      </c>
      <c r="M49" s="22">
        <v>87</v>
      </c>
      <c r="N49" s="22">
        <v>9950</v>
      </c>
      <c r="O49" s="22">
        <v>12200</v>
      </c>
      <c r="P49" s="22">
        <v>8953</v>
      </c>
      <c r="Q49" s="53">
        <f>'[3]Forecast (pcs.)'!Q49</f>
        <v>2500</v>
      </c>
      <c r="R49" s="53">
        <f>'[3]Forecast (pcs.)'!R49</f>
        <v>12980</v>
      </c>
      <c r="S49" s="53">
        <f>'[3]Forecast (pcs.)'!S49</f>
        <v>24000</v>
      </c>
      <c r="T49" s="53">
        <f>'[3]Forecast (pcs.)'!T49</f>
        <v>14000</v>
      </c>
      <c r="U49" s="53">
        <f>'[3]Forecast (pcs.)'!U49</f>
        <v>13376</v>
      </c>
      <c r="V49" s="53">
        <f>'[3]Forecast (pcs.)'!V49</f>
        <v>6444</v>
      </c>
      <c r="W49" s="53">
        <f>'[3]Forecast (pcs.)'!W49</f>
        <v>6612</v>
      </c>
      <c r="X49" s="53">
        <f>'[3]Forecast (pcs.)'!X49</f>
        <v>4948</v>
      </c>
      <c r="Y49" s="53">
        <f>'[3]Forecast (pcs.)'!Y49</f>
        <v>4342</v>
      </c>
      <c r="Z49" s="53">
        <f>'[3]Forecast (pcs.)'!Z49</f>
        <v>10038</v>
      </c>
      <c r="AA49" s="53">
        <f>'[3]Forecast (pcs.)'!AA49</f>
        <v>7396</v>
      </c>
      <c r="AB49" s="53">
        <f>'[3]Forecast (pcs.)'!AB49</f>
        <v>9626</v>
      </c>
      <c r="AD49" s="6">
        <f t="shared" si="2"/>
        <v>9688.5</v>
      </c>
    </row>
    <row r="50" spans="1:30" ht="15" customHeight="1" x14ac:dyDescent="0.25">
      <c r="A50" s="2">
        <v>5503</v>
      </c>
      <c r="B50" s="15" t="s">
        <v>47</v>
      </c>
      <c r="C50" s="20">
        <v>5503</v>
      </c>
      <c r="D50" s="16" t="s">
        <v>97</v>
      </c>
      <c r="E50" s="17">
        <v>34.270000000000003</v>
      </c>
      <c r="F50" s="18">
        <v>4400</v>
      </c>
      <c r="G50" s="21">
        <v>5200</v>
      </c>
      <c r="H50" s="6">
        <v>7000</v>
      </c>
      <c r="I50" s="22">
        <v>6463</v>
      </c>
      <c r="J50" s="22">
        <v>2200</v>
      </c>
      <c r="K50" s="22">
        <v>6137</v>
      </c>
      <c r="L50" s="22">
        <v>963</v>
      </c>
      <c r="M50" s="22">
        <v>3000</v>
      </c>
      <c r="N50" s="22">
        <v>1500</v>
      </c>
      <c r="O50" s="22">
        <v>7000</v>
      </c>
      <c r="P50" s="22">
        <v>6600</v>
      </c>
      <c r="Q50" s="53">
        <f>'[3]Forecast (pcs.)'!Q50</f>
        <v>1400</v>
      </c>
      <c r="R50" s="53">
        <f>'[3]Forecast (pcs.)'!R50</f>
        <v>0</v>
      </c>
      <c r="S50" s="53">
        <f>'[3]Forecast (pcs.)'!S50</f>
        <v>12800</v>
      </c>
      <c r="T50" s="53">
        <f>'[3]Forecast (pcs.)'!T50</f>
        <v>10000</v>
      </c>
      <c r="U50" s="53">
        <f>'[3]Forecast (pcs.)'!U50</f>
        <v>5414</v>
      </c>
      <c r="V50" s="53">
        <f>'[3]Forecast (pcs.)'!V50</f>
        <v>3794</v>
      </c>
      <c r="W50" s="53">
        <f>'[3]Forecast (pcs.)'!W50</f>
        <v>3986</v>
      </c>
      <c r="X50" s="53">
        <f>'[3]Forecast (pcs.)'!X50</f>
        <v>3132</v>
      </c>
      <c r="Y50" s="53">
        <f>'[3]Forecast (pcs.)'!Y50</f>
        <v>2414</v>
      </c>
      <c r="Z50" s="53">
        <f>'[3]Forecast (pcs.)'!Z50</f>
        <v>3852</v>
      </c>
      <c r="AA50" s="53">
        <f>'[3]Forecast (pcs.)'!AA50</f>
        <v>4130</v>
      </c>
      <c r="AB50" s="53">
        <f>'[3]Forecast (pcs.)'!AB50</f>
        <v>4584</v>
      </c>
      <c r="AD50" s="6">
        <f t="shared" si="2"/>
        <v>4625.5</v>
      </c>
    </row>
    <row r="51" spans="1:30" ht="15" customHeight="1" x14ac:dyDescent="0.25">
      <c r="A51" s="2">
        <v>5536</v>
      </c>
      <c r="B51" s="15" t="s">
        <v>47</v>
      </c>
      <c r="C51" s="20">
        <v>5536</v>
      </c>
      <c r="D51" s="16" t="s">
        <v>115</v>
      </c>
      <c r="E51" s="17">
        <v>64.16</v>
      </c>
      <c r="F51" s="18">
        <v>2500</v>
      </c>
      <c r="G51" s="21">
        <v>4080</v>
      </c>
      <c r="H51" s="6">
        <v>1680</v>
      </c>
      <c r="I51" s="22">
        <v>2931</v>
      </c>
      <c r="J51" s="22">
        <v>3937</v>
      </c>
      <c r="K51" s="22">
        <v>5049</v>
      </c>
      <c r="L51" s="22">
        <v>1000</v>
      </c>
      <c r="M51" s="22">
        <v>0</v>
      </c>
      <c r="N51" s="22">
        <v>2800</v>
      </c>
      <c r="O51" s="22">
        <v>5196</v>
      </c>
      <c r="P51" s="22">
        <v>7604</v>
      </c>
      <c r="Q51" s="53">
        <f>'[3]Forecast (pcs.)'!Q51</f>
        <v>7008</v>
      </c>
      <c r="R51" s="53">
        <f>'[3]Forecast (pcs.)'!R51</f>
        <v>1680</v>
      </c>
      <c r="S51" s="53">
        <f>'[3]Forecast (pcs.)'!S51</f>
        <v>4100</v>
      </c>
      <c r="T51" s="53">
        <f>'[3]Forecast (pcs.)'!T51</f>
        <v>2000</v>
      </c>
      <c r="U51" s="53">
        <f>'[3]Forecast (pcs.)'!U51</f>
        <v>2331</v>
      </c>
      <c r="V51" s="53">
        <f>'[3]Forecast (pcs.)'!V51</f>
        <v>1345</v>
      </c>
      <c r="W51" s="53">
        <f>'[3]Forecast (pcs.)'!W51</f>
        <v>2133</v>
      </c>
      <c r="X51" s="53">
        <f>'[3]Forecast (pcs.)'!X51</f>
        <v>1824</v>
      </c>
      <c r="Y51" s="53">
        <f>'[3]Forecast (pcs.)'!Y51</f>
        <v>1286</v>
      </c>
      <c r="Z51" s="53">
        <f>'[3]Forecast (pcs.)'!Z51</f>
        <v>2653</v>
      </c>
      <c r="AA51" s="53">
        <f>'[3]Forecast (pcs.)'!AA51</f>
        <v>1777</v>
      </c>
      <c r="AB51" s="53">
        <f>'[3]Forecast (pcs.)'!AB51</f>
        <v>1575</v>
      </c>
      <c r="AD51" s="6">
        <f t="shared" si="2"/>
        <v>2476</v>
      </c>
    </row>
    <row r="52" spans="1:30" ht="15" customHeight="1" x14ac:dyDescent="0.25">
      <c r="A52" s="2">
        <v>5903</v>
      </c>
      <c r="B52" s="15" t="s">
        <v>47</v>
      </c>
      <c r="C52" s="20">
        <v>5903</v>
      </c>
      <c r="D52" s="16" t="s">
        <v>114</v>
      </c>
      <c r="E52" s="17">
        <v>60</v>
      </c>
      <c r="F52" s="18">
        <v>0</v>
      </c>
      <c r="G52" s="21">
        <v>0</v>
      </c>
      <c r="H52" s="6">
        <v>138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1000</v>
      </c>
      <c r="P52" s="22">
        <v>1000</v>
      </c>
      <c r="Q52" s="53">
        <f>'[3]Forecast (pcs.)'!Q52</f>
        <v>0</v>
      </c>
      <c r="R52" s="53">
        <f>'[3]Forecast (pcs.)'!R52</f>
        <v>0</v>
      </c>
      <c r="S52" s="53">
        <f>'[3]Forecast (pcs.)'!S52</f>
        <v>0</v>
      </c>
      <c r="T52" s="53">
        <f>'[3]Forecast (pcs.)'!T52</f>
        <v>0</v>
      </c>
      <c r="U52" s="53">
        <f>'[3]Forecast (pcs.)'!U52</f>
        <v>0</v>
      </c>
      <c r="V52" s="53">
        <f>'[3]Forecast (pcs.)'!V52</f>
        <v>0</v>
      </c>
      <c r="W52" s="53">
        <f>'[3]Forecast (pcs.)'!W52</f>
        <v>0</v>
      </c>
      <c r="X52" s="53">
        <f>'[3]Forecast (pcs.)'!X52</f>
        <v>0</v>
      </c>
      <c r="Y52" s="53">
        <f>'[3]Forecast (pcs.)'!Y52</f>
        <v>0</v>
      </c>
      <c r="Z52" s="53">
        <f>'[3]Forecast (pcs.)'!Z52</f>
        <v>0</v>
      </c>
      <c r="AA52" s="53">
        <f>'[3]Forecast (pcs.)'!AA52</f>
        <v>0</v>
      </c>
      <c r="AB52" s="53">
        <f>'[3]Forecast (pcs.)'!AB52</f>
        <v>0</v>
      </c>
      <c r="AD52" s="6">
        <f>AVERAGE(Q52:S52)</f>
        <v>0</v>
      </c>
    </row>
    <row r="53" spans="1:30" ht="15" customHeight="1" x14ac:dyDescent="0.25">
      <c r="A53" s="2">
        <v>6106</v>
      </c>
      <c r="B53" s="15" t="s">
        <v>47</v>
      </c>
      <c r="C53" s="20">
        <v>6106</v>
      </c>
      <c r="D53" s="16" t="s">
        <v>321</v>
      </c>
      <c r="E53" s="17">
        <v>124.56</v>
      </c>
      <c r="F53" s="18">
        <v>200</v>
      </c>
      <c r="G53" s="21">
        <v>300</v>
      </c>
      <c r="H53" s="6">
        <v>200</v>
      </c>
      <c r="I53" s="22">
        <v>400</v>
      </c>
      <c r="J53" s="22">
        <v>500</v>
      </c>
      <c r="K53" s="22">
        <v>500</v>
      </c>
      <c r="L53" s="22">
        <v>500</v>
      </c>
      <c r="M53" s="22">
        <v>397</v>
      </c>
      <c r="N53" s="22">
        <v>403</v>
      </c>
      <c r="O53" s="22">
        <v>400</v>
      </c>
      <c r="P53" s="22">
        <v>400</v>
      </c>
      <c r="Q53" s="53">
        <f>'[3]Forecast (pcs.)'!Q53</f>
        <v>0</v>
      </c>
      <c r="R53" s="53">
        <f>'[3]Forecast (pcs.)'!R53</f>
        <v>1100</v>
      </c>
      <c r="S53" s="53">
        <f>'[3]Forecast (pcs.)'!S53</f>
        <v>1071</v>
      </c>
      <c r="T53" s="53">
        <f>'[3]Forecast (pcs.)'!T53</f>
        <v>800</v>
      </c>
      <c r="U53" s="53">
        <f>'[3]Forecast (pcs.)'!U53</f>
        <v>210</v>
      </c>
      <c r="V53" s="53">
        <f>'[3]Forecast (pcs.)'!V53</f>
        <v>648</v>
      </c>
      <c r="W53" s="53">
        <f>'[3]Forecast (pcs.)'!W53</f>
        <v>446</v>
      </c>
      <c r="X53" s="53">
        <f>'[3]Forecast (pcs.)'!X53</f>
        <v>416</v>
      </c>
      <c r="Y53" s="53">
        <f>'[3]Forecast (pcs.)'!Y53</f>
        <v>302</v>
      </c>
      <c r="Z53" s="53">
        <f>'[3]Forecast (pcs.)'!Z53</f>
        <v>340</v>
      </c>
      <c r="AA53" s="53">
        <f>'[3]Forecast (pcs.)'!AA53</f>
        <v>360</v>
      </c>
      <c r="AB53" s="53">
        <f>'[3]Forecast (pcs.)'!AB53</f>
        <v>264</v>
      </c>
      <c r="AD53" s="6">
        <f t="shared" ref="AD53:AD58" si="3">AVERAGE(Q53:AB53)</f>
        <v>496.41666666666669</v>
      </c>
    </row>
    <row r="54" spans="1:30" ht="15" customHeight="1" x14ac:dyDescent="0.25">
      <c r="A54" s="2">
        <v>6107</v>
      </c>
      <c r="B54" s="15" t="s">
        <v>47</v>
      </c>
      <c r="C54" s="20">
        <v>6107</v>
      </c>
      <c r="D54" s="16" t="s">
        <v>322</v>
      </c>
      <c r="E54" s="17">
        <v>124.56</v>
      </c>
      <c r="F54" s="18">
        <v>500</v>
      </c>
      <c r="G54" s="21">
        <v>300</v>
      </c>
      <c r="H54" s="6">
        <v>0</v>
      </c>
      <c r="I54" s="22">
        <v>0</v>
      </c>
      <c r="J54" s="22">
        <v>0</v>
      </c>
      <c r="K54" s="22">
        <v>0</v>
      </c>
      <c r="L54" s="22">
        <v>0</v>
      </c>
      <c r="M54" s="22">
        <v>200</v>
      </c>
      <c r="N54" s="22">
        <v>0</v>
      </c>
      <c r="O54" s="22">
        <v>200</v>
      </c>
      <c r="P54" s="22">
        <v>200</v>
      </c>
      <c r="Q54" s="53">
        <f>'[3]Forecast (pcs.)'!Q54</f>
        <v>194</v>
      </c>
      <c r="R54" s="53">
        <f>'[3]Forecast (pcs.)'!R54</f>
        <v>606</v>
      </c>
      <c r="S54" s="53">
        <f>'[3]Forecast (pcs.)'!S54</f>
        <v>714</v>
      </c>
      <c r="T54" s="53">
        <f>'[3]Forecast (pcs.)'!T54</f>
        <v>600</v>
      </c>
      <c r="U54" s="53">
        <f>'[3]Forecast (pcs.)'!U54</f>
        <v>276</v>
      </c>
      <c r="V54" s="53">
        <f>'[3]Forecast (pcs.)'!V54</f>
        <v>250</v>
      </c>
      <c r="W54" s="53">
        <f>'[3]Forecast (pcs.)'!W54</f>
        <v>230</v>
      </c>
      <c r="X54" s="53">
        <f>'[3]Forecast (pcs.)'!X54</f>
        <v>192</v>
      </c>
      <c r="Y54" s="53">
        <f>'[3]Forecast (pcs.)'!Y54</f>
        <v>180</v>
      </c>
      <c r="Z54" s="53">
        <f>'[3]Forecast (pcs.)'!Z54</f>
        <v>144</v>
      </c>
      <c r="AA54" s="53">
        <f>'[3]Forecast (pcs.)'!AA54</f>
        <v>192</v>
      </c>
      <c r="AB54" s="53">
        <f>'[3]Forecast (pcs.)'!AB54</f>
        <v>0</v>
      </c>
      <c r="AD54" s="6">
        <f t="shared" si="3"/>
        <v>298.16666666666669</v>
      </c>
    </row>
    <row r="55" spans="1:30" ht="15" customHeight="1" x14ac:dyDescent="0.25">
      <c r="A55" s="2">
        <v>6109</v>
      </c>
      <c r="B55" s="15" t="s">
        <v>47</v>
      </c>
      <c r="C55" s="20">
        <v>6109</v>
      </c>
      <c r="D55" s="16" t="s">
        <v>323</v>
      </c>
      <c r="E55" s="17">
        <v>17</v>
      </c>
      <c r="F55" s="18">
        <v>0</v>
      </c>
      <c r="G55" s="19"/>
      <c r="H55" s="19"/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53">
        <f>'[3]Forecast (pcs.)'!Q55</f>
        <v>0</v>
      </c>
      <c r="R55" s="53">
        <f>'[3]Forecast (pcs.)'!R55</f>
        <v>0</v>
      </c>
      <c r="S55" s="53">
        <f>'[3]Forecast (pcs.)'!S55</f>
        <v>0</v>
      </c>
      <c r="T55" s="53">
        <f>'[3]Forecast (pcs.)'!T55</f>
        <v>0</v>
      </c>
      <c r="U55" s="53">
        <f>'[3]Forecast (pcs.)'!U55</f>
        <v>0</v>
      </c>
      <c r="V55" s="53">
        <f>'[3]Forecast (pcs.)'!V55</f>
        <v>0</v>
      </c>
      <c r="W55" s="53">
        <f>'[3]Forecast (pcs.)'!W55</f>
        <v>0</v>
      </c>
      <c r="X55" s="53">
        <f>'[3]Forecast (pcs.)'!X55</f>
        <v>0</v>
      </c>
      <c r="Y55" s="53">
        <f>'[3]Forecast (pcs.)'!Y55</f>
        <v>0</v>
      </c>
      <c r="Z55" s="53">
        <f>'[3]Forecast (pcs.)'!Z55</f>
        <v>0</v>
      </c>
      <c r="AA55" s="53">
        <f>'[3]Forecast (pcs.)'!AA55</f>
        <v>0</v>
      </c>
      <c r="AB55" s="53">
        <f>'[3]Forecast (pcs.)'!AB55</f>
        <v>0</v>
      </c>
      <c r="AD55" s="6">
        <f t="shared" si="3"/>
        <v>0</v>
      </c>
    </row>
    <row r="56" spans="1:30" ht="15" customHeight="1" x14ac:dyDescent="0.25">
      <c r="A56" s="2">
        <v>6113</v>
      </c>
      <c r="B56" s="15" t="s">
        <v>47</v>
      </c>
      <c r="C56" s="20">
        <v>6113</v>
      </c>
      <c r="D56" s="16" t="s">
        <v>46</v>
      </c>
      <c r="E56" s="17">
        <v>39.74</v>
      </c>
      <c r="F56" s="18">
        <v>2000</v>
      </c>
      <c r="G56" s="21">
        <v>2080</v>
      </c>
      <c r="H56" s="6">
        <v>420</v>
      </c>
      <c r="I56" s="22">
        <v>8580</v>
      </c>
      <c r="J56" s="22">
        <v>4860</v>
      </c>
      <c r="K56" s="22">
        <v>1460</v>
      </c>
      <c r="L56" s="22">
        <v>0</v>
      </c>
      <c r="M56" s="22">
        <v>0</v>
      </c>
      <c r="N56" s="22">
        <v>1360</v>
      </c>
      <c r="O56" s="22">
        <v>4980</v>
      </c>
      <c r="P56" s="22">
        <v>4860</v>
      </c>
      <c r="Q56" s="53">
        <f>'[3]Forecast (pcs.)'!Q56</f>
        <v>867</v>
      </c>
      <c r="R56" s="53">
        <f>'[3]Forecast (pcs.)'!R56</f>
        <v>2277</v>
      </c>
      <c r="S56" s="53">
        <f>'[3]Forecast (pcs.)'!S56</f>
        <v>9000</v>
      </c>
      <c r="T56" s="53">
        <f>'[3]Forecast (pcs.)'!T56</f>
        <v>10000</v>
      </c>
      <c r="U56" s="53">
        <f>'[3]Forecast (pcs.)'!U56</f>
        <v>7962</v>
      </c>
      <c r="V56" s="53">
        <f>'[3]Forecast (pcs.)'!V56</f>
        <v>2650</v>
      </c>
      <c r="W56" s="53">
        <f>'[3]Forecast (pcs.)'!W56</f>
        <v>2626</v>
      </c>
      <c r="X56" s="53">
        <f>'[3]Forecast (pcs.)'!X56</f>
        <v>1816</v>
      </c>
      <c r="Y56" s="53">
        <f>'[3]Forecast (pcs.)'!Y56</f>
        <v>1928</v>
      </c>
      <c r="Z56" s="53">
        <f>'[3]Forecast (pcs.)'!Z56</f>
        <v>6186</v>
      </c>
      <c r="AA56" s="53">
        <f>'[3]Forecast (pcs.)'!AA56</f>
        <v>3266</v>
      </c>
      <c r="AB56" s="53">
        <f>'[3]Forecast (pcs.)'!AB56</f>
        <v>5042</v>
      </c>
      <c r="AD56" s="6">
        <f t="shared" si="3"/>
        <v>4468.333333333333</v>
      </c>
    </row>
    <row r="57" spans="1:30" ht="15" customHeight="1" x14ac:dyDescent="0.25">
      <c r="A57" s="2">
        <v>6148</v>
      </c>
      <c r="B57" s="15" t="s">
        <v>47</v>
      </c>
      <c r="C57" s="20">
        <v>6148</v>
      </c>
      <c r="D57" s="16" t="s">
        <v>53</v>
      </c>
      <c r="E57" s="17">
        <v>98.65</v>
      </c>
      <c r="F57" s="18">
        <v>1777</v>
      </c>
      <c r="G57" s="21">
        <v>1881</v>
      </c>
      <c r="H57" s="6">
        <v>964</v>
      </c>
      <c r="I57" s="22">
        <v>3031</v>
      </c>
      <c r="J57" s="22">
        <v>343</v>
      </c>
      <c r="K57" s="22">
        <v>905</v>
      </c>
      <c r="L57" s="22">
        <v>2261</v>
      </c>
      <c r="M57" s="22">
        <v>1021</v>
      </c>
      <c r="N57" s="22">
        <v>953</v>
      </c>
      <c r="O57" s="22">
        <v>2544</v>
      </c>
      <c r="P57" s="22">
        <v>3810</v>
      </c>
      <c r="Q57" s="53">
        <f>'[3]Forecast (pcs.)'!Q57</f>
        <v>2516</v>
      </c>
      <c r="R57" s="53">
        <f>'[3]Forecast (pcs.)'!R57</f>
        <v>1235</v>
      </c>
      <c r="S57" s="53">
        <f>'[3]Forecast (pcs.)'!S57</f>
        <v>629</v>
      </c>
      <c r="T57" s="53">
        <f>'[3]Forecast (pcs.)'!T57</f>
        <v>849</v>
      </c>
      <c r="U57" s="53">
        <f>'[3]Forecast (pcs.)'!U57</f>
        <v>1460</v>
      </c>
      <c r="V57" s="53">
        <f>'[3]Forecast (pcs.)'!V57</f>
        <v>567</v>
      </c>
      <c r="W57" s="53">
        <f>'[3]Forecast (pcs.)'!W57</f>
        <v>868</v>
      </c>
      <c r="X57" s="53">
        <f>'[3]Forecast (pcs.)'!X57</f>
        <v>874</v>
      </c>
      <c r="Y57" s="53">
        <f>'[3]Forecast (pcs.)'!Y57</f>
        <v>500</v>
      </c>
      <c r="Z57" s="53">
        <f>'[3]Forecast (pcs.)'!Z57</f>
        <v>1448</v>
      </c>
      <c r="AA57" s="53">
        <f>'[3]Forecast (pcs.)'!AA57</f>
        <v>791</v>
      </c>
      <c r="AB57" s="53">
        <f>'[3]Forecast (pcs.)'!AB57</f>
        <v>702</v>
      </c>
      <c r="AD57" s="6">
        <f t="shared" si="3"/>
        <v>1036.5833333333333</v>
      </c>
    </row>
    <row r="58" spans="1:30" ht="15" customHeight="1" x14ac:dyDescent="0.25">
      <c r="A58" s="2">
        <v>6149</v>
      </c>
      <c r="B58" s="15" t="s">
        <v>47</v>
      </c>
      <c r="C58" s="20">
        <v>6149</v>
      </c>
      <c r="D58" s="16" t="s">
        <v>54</v>
      </c>
      <c r="E58" s="17">
        <v>98.65</v>
      </c>
      <c r="F58" s="18">
        <v>1779</v>
      </c>
      <c r="G58" s="21">
        <v>1793</v>
      </c>
      <c r="H58" s="6">
        <v>110</v>
      </c>
      <c r="I58" s="22">
        <v>2730</v>
      </c>
      <c r="J58" s="22">
        <v>1749</v>
      </c>
      <c r="K58" s="22">
        <v>1703</v>
      </c>
      <c r="L58" s="22">
        <v>734</v>
      </c>
      <c r="M58" s="22">
        <v>1392</v>
      </c>
      <c r="N58" s="22">
        <v>243</v>
      </c>
      <c r="O58" s="22">
        <v>1510</v>
      </c>
      <c r="P58" s="22">
        <v>5183</v>
      </c>
      <c r="Q58" s="53">
        <f>'[3]Forecast (pcs.)'!Q58</f>
        <v>3611</v>
      </c>
      <c r="R58" s="53">
        <f>'[3]Forecast (pcs.)'!R58</f>
        <v>427</v>
      </c>
      <c r="S58" s="53">
        <f>'[3]Forecast (pcs.)'!S58</f>
        <v>3052</v>
      </c>
      <c r="T58" s="53">
        <f>'[3]Forecast (pcs.)'!T58</f>
        <v>747</v>
      </c>
      <c r="U58" s="53">
        <f>'[3]Forecast (pcs.)'!U58</f>
        <v>1532</v>
      </c>
      <c r="V58" s="53">
        <f>'[3]Forecast (pcs.)'!V58</f>
        <v>634</v>
      </c>
      <c r="W58" s="53">
        <f>'[3]Forecast (pcs.)'!W58</f>
        <v>938</v>
      </c>
      <c r="X58" s="53">
        <f>'[3]Forecast (pcs.)'!X58</f>
        <v>948</v>
      </c>
      <c r="Y58" s="53">
        <f>'[3]Forecast (pcs.)'!Y58</f>
        <v>576</v>
      </c>
      <c r="Z58" s="53">
        <f>'[3]Forecast (pcs.)'!Z58</f>
        <v>1448</v>
      </c>
      <c r="AA58" s="53">
        <f>'[3]Forecast (pcs.)'!AA58</f>
        <v>791</v>
      </c>
      <c r="AB58" s="53">
        <f>'[3]Forecast (pcs.)'!AB58</f>
        <v>702</v>
      </c>
      <c r="AD58" s="6">
        <f t="shared" si="3"/>
        <v>1283.8333333333333</v>
      </c>
    </row>
    <row r="59" spans="1:30" ht="15" customHeight="1" x14ac:dyDescent="0.25">
      <c r="A59" s="2">
        <v>6201</v>
      </c>
      <c r="B59" s="15" t="s">
        <v>47</v>
      </c>
      <c r="C59" s="20">
        <v>6201</v>
      </c>
      <c r="D59" s="16" t="s">
        <v>324</v>
      </c>
      <c r="E59" s="17">
        <v>108.78</v>
      </c>
      <c r="F59" s="18">
        <v>309</v>
      </c>
      <c r="G59" s="21">
        <v>643</v>
      </c>
      <c r="H59" s="6">
        <v>272</v>
      </c>
      <c r="I59" s="22">
        <v>685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700</v>
      </c>
      <c r="P59" s="22">
        <v>700</v>
      </c>
      <c r="Q59" s="53">
        <f>'[3]Forecast (pcs.)'!Q59</f>
        <v>0</v>
      </c>
      <c r="R59" s="53">
        <f>'[3]Forecast (pcs.)'!R59</f>
        <v>0</v>
      </c>
      <c r="S59" s="53">
        <f>'[3]Forecast (pcs.)'!S59</f>
        <v>0</v>
      </c>
      <c r="T59" s="53">
        <f>'[3]Forecast (pcs.)'!T59</f>
        <v>0</v>
      </c>
      <c r="U59" s="53">
        <f>'[3]Forecast (pcs.)'!U59</f>
        <v>0</v>
      </c>
      <c r="V59" s="53">
        <f>'[3]Forecast (pcs.)'!V59</f>
        <v>0</v>
      </c>
      <c r="W59" s="53">
        <f>'[3]Forecast (pcs.)'!W59</f>
        <v>0</v>
      </c>
      <c r="X59" s="53">
        <f>'[3]Forecast (pcs.)'!X59</f>
        <v>0</v>
      </c>
      <c r="Y59" s="53">
        <f>'[3]Forecast (pcs.)'!Y59</f>
        <v>0</v>
      </c>
      <c r="Z59" s="53">
        <f>'[3]Forecast (pcs.)'!Z59</f>
        <v>0</v>
      </c>
      <c r="AA59" s="53">
        <f>'[3]Forecast (pcs.)'!AA59</f>
        <v>0</v>
      </c>
      <c r="AB59" s="53">
        <f>'[3]Forecast (pcs.)'!AB59</f>
        <v>0</v>
      </c>
      <c r="AD59" s="6">
        <f>AVERAGE(Q59:T59)</f>
        <v>0</v>
      </c>
    </row>
    <row r="60" spans="1:30" ht="15" customHeight="1" x14ac:dyDescent="0.25">
      <c r="A60" s="2">
        <v>6302</v>
      </c>
      <c r="B60" s="15" t="s">
        <v>47</v>
      </c>
      <c r="C60" s="20">
        <v>6302</v>
      </c>
      <c r="D60" s="16" t="s">
        <v>113</v>
      </c>
      <c r="E60" s="17">
        <v>67.78</v>
      </c>
      <c r="F60" s="18">
        <v>3240</v>
      </c>
      <c r="G60" s="21">
        <v>2080</v>
      </c>
      <c r="H60" s="6">
        <v>1360</v>
      </c>
      <c r="I60" s="22">
        <v>4997</v>
      </c>
      <c r="J60" s="22">
        <v>640</v>
      </c>
      <c r="K60" s="22">
        <v>3800</v>
      </c>
      <c r="L60" s="22">
        <v>1000</v>
      </c>
      <c r="M60" s="22">
        <v>0</v>
      </c>
      <c r="N60" s="22">
        <v>358</v>
      </c>
      <c r="O60" s="22">
        <v>0</v>
      </c>
      <c r="P60" s="22">
        <v>1042</v>
      </c>
      <c r="Q60" s="53">
        <f>'[3]Forecast (pcs.)'!Q60</f>
        <v>2410</v>
      </c>
      <c r="R60" s="53">
        <f>'[3]Forecast (pcs.)'!R60</f>
        <v>0</v>
      </c>
      <c r="S60" s="53">
        <f>'[3]Forecast (pcs.)'!S60</f>
        <v>3795</v>
      </c>
      <c r="T60" s="53">
        <f>'[3]Forecast (pcs.)'!T60</f>
        <v>2000</v>
      </c>
      <c r="U60" s="53">
        <f>'[3]Forecast (pcs.)'!U60</f>
        <v>1871</v>
      </c>
      <c r="V60" s="53">
        <f>'[3]Forecast (pcs.)'!V60</f>
        <v>1516</v>
      </c>
      <c r="W60" s="53">
        <f>'[3]Forecast (pcs.)'!W60</f>
        <v>1288</v>
      </c>
      <c r="X60" s="53">
        <f>'[3]Forecast (pcs.)'!X60</f>
        <v>967</v>
      </c>
      <c r="Y60" s="53">
        <f>'[3]Forecast (pcs.)'!Y60</f>
        <v>820</v>
      </c>
      <c r="Z60" s="53">
        <f>'[3]Forecast (pcs.)'!Z60</f>
        <v>560</v>
      </c>
      <c r="AA60" s="53">
        <f>'[3]Forecast (pcs.)'!AA60</f>
        <v>3013</v>
      </c>
      <c r="AB60" s="53">
        <f>'[3]Forecast (pcs.)'!AB60</f>
        <v>1983</v>
      </c>
      <c r="AD60" s="6">
        <f t="shared" ref="AD60:AD91" si="4">AVERAGE(Q60:AB60)</f>
        <v>1685.25</v>
      </c>
    </row>
    <row r="61" spans="1:30" ht="15" customHeight="1" x14ac:dyDescent="0.25">
      <c r="A61" s="2">
        <v>6303</v>
      </c>
      <c r="B61" s="15" t="s">
        <v>47</v>
      </c>
      <c r="C61" s="20">
        <v>6303</v>
      </c>
      <c r="D61" s="16" t="s">
        <v>98</v>
      </c>
      <c r="E61" s="17">
        <v>38.4</v>
      </c>
      <c r="F61" s="18">
        <v>3611</v>
      </c>
      <c r="G61" s="21">
        <v>4080</v>
      </c>
      <c r="H61" s="6">
        <v>2320</v>
      </c>
      <c r="I61" s="22">
        <v>3400</v>
      </c>
      <c r="J61" s="22">
        <v>1320</v>
      </c>
      <c r="K61" s="22">
        <v>2330</v>
      </c>
      <c r="L61" s="22">
        <v>0</v>
      </c>
      <c r="M61" s="22">
        <v>860</v>
      </c>
      <c r="N61" s="22">
        <v>0</v>
      </c>
      <c r="O61" s="22">
        <v>0</v>
      </c>
      <c r="P61" s="22">
        <v>865</v>
      </c>
      <c r="Q61" s="53">
        <f>'[3]Forecast (pcs.)'!Q61</f>
        <v>2000</v>
      </c>
      <c r="R61" s="53">
        <f>'[3]Forecast (pcs.)'!R61</f>
        <v>2869</v>
      </c>
      <c r="S61" s="53">
        <f>'[3]Forecast (pcs.)'!S61</f>
        <v>3000</v>
      </c>
      <c r="T61" s="53">
        <f>'[3]Forecast (pcs.)'!T61</f>
        <v>2000</v>
      </c>
      <c r="U61" s="53">
        <f>'[3]Forecast (pcs.)'!U61</f>
        <v>1521</v>
      </c>
      <c r="V61" s="53">
        <f>'[3]Forecast (pcs.)'!V61</f>
        <v>1861</v>
      </c>
      <c r="W61" s="53">
        <f>'[3]Forecast (pcs.)'!W61</f>
        <v>1791</v>
      </c>
      <c r="X61" s="53">
        <f>'[3]Forecast (pcs.)'!X61</f>
        <v>1569</v>
      </c>
      <c r="Y61" s="53">
        <f>'[3]Forecast (pcs.)'!Y61</f>
        <v>1253</v>
      </c>
      <c r="Z61" s="53">
        <f>'[3]Forecast (pcs.)'!Z61</f>
        <v>1118</v>
      </c>
      <c r="AA61" s="53">
        <f>'[3]Forecast (pcs.)'!AA61</f>
        <v>3013</v>
      </c>
      <c r="AB61" s="53">
        <f>'[3]Forecast (pcs.)'!AB61</f>
        <v>1983</v>
      </c>
      <c r="AD61" s="6">
        <f t="shared" si="4"/>
        <v>1998.1666666666667</v>
      </c>
    </row>
    <row r="62" spans="1:30" ht="15" customHeight="1" x14ac:dyDescent="0.25">
      <c r="A62" s="2">
        <v>6304</v>
      </c>
      <c r="B62" s="15" t="s">
        <v>47</v>
      </c>
      <c r="C62" s="20">
        <v>6304</v>
      </c>
      <c r="D62" s="16" t="s">
        <v>99</v>
      </c>
      <c r="E62" s="17">
        <v>36.25</v>
      </c>
      <c r="F62" s="18">
        <v>3400</v>
      </c>
      <c r="G62" s="21">
        <v>4320</v>
      </c>
      <c r="H62" s="6">
        <v>1440</v>
      </c>
      <c r="I62" s="22">
        <v>4040</v>
      </c>
      <c r="J62" s="22">
        <v>1720</v>
      </c>
      <c r="K62" s="22">
        <v>1236</v>
      </c>
      <c r="L62" s="22">
        <v>0</v>
      </c>
      <c r="M62" s="22">
        <v>860</v>
      </c>
      <c r="N62" s="22">
        <v>0</v>
      </c>
      <c r="O62" s="22">
        <v>0</v>
      </c>
      <c r="P62" s="22">
        <v>865</v>
      </c>
      <c r="Q62" s="53">
        <f>'[3]Forecast (pcs.)'!Q62</f>
        <v>2000</v>
      </c>
      <c r="R62" s="53">
        <f>'[3]Forecast (pcs.)'!R62</f>
        <v>3098</v>
      </c>
      <c r="S62" s="53">
        <f>'[3]Forecast (pcs.)'!S62</f>
        <v>3000</v>
      </c>
      <c r="T62" s="53">
        <f>'[3]Forecast (pcs.)'!T62</f>
        <v>2000</v>
      </c>
      <c r="U62" s="53">
        <f>'[3]Forecast (pcs.)'!U62</f>
        <v>1521</v>
      </c>
      <c r="V62" s="53">
        <f>'[3]Forecast (pcs.)'!V62</f>
        <v>1861</v>
      </c>
      <c r="W62" s="53">
        <f>'[3]Forecast (pcs.)'!W62</f>
        <v>1791</v>
      </c>
      <c r="X62" s="53">
        <f>'[3]Forecast (pcs.)'!X62</f>
        <v>1569</v>
      </c>
      <c r="Y62" s="53">
        <f>'[3]Forecast (pcs.)'!Y62</f>
        <v>1253</v>
      </c>
      <c r="Z62" s="53">
        <f>'[3]Forecast (pcs.)'!Z62</f>
        <v>1118</v>
      </c>
      <c r="AA62" s="53">
        <f>'[3]Forecast (pcs.)'!AA62</f>
        <v>3013</v>
      </c>
      <c r="AB62" s="53">
        <f>'[3]Forecast (pcs.)'!AB62</f>
        <v>1983</v>
      </c>
      <c r="AD62" s="6">
        <f t="shared" si="4"/>
        <v>2017.25</v>
      </c>
    </row>
    <row r="63" spans="1:30" ht="15" customHeight="1" x14ac:dyDescent="0.25">
      <c r="A63" s="2">
        <v>6415</v>
      </c>
      <c r="B63" s="15" t="s">
        <v>47</v>
      </c>
      <c r="C63" s="20">
        <v>6415</v>
      </c>
      <c r="D63" s="16" t="s">
        <v>63</v>
      </c>
      <c r="E63" s="17">
        <v>59</v>
      </c>
      <c r="F63" s="18">
        <v>3209</v>
      </c>
      <c r="G63" s="21">
        <v>3200</v>
      </c>
      <c r="H63" s="6">
        <v>1200</v>
      </c>
      <c r="I63" s="22">
        <v>3085</v>
      </c>
      <c r="J63" s="22">
        <v>1600</v>
      </c>
      <c r="K63" s="22">
        <v>3191</v>
      </c>
      <c r="L63" s="22">
        <v>700</v>
      </c>
      <c r="M63" s="22">
        <v>380</v>
      </c>
      <c r="N63" s="22">
        <v>1800</v>
      </c>
      <c r="O63" s="22">
        <v>3500</v>
      </c>
      <c r="P63" s="22">
        <v>3535</v>
      </c>
      <c r="Q63" s="53">
        <f>'[3]Forecast (pcs.)'!Q63</f>
        <v>1511</v>
      </c>
      <c r="R63" s="53">
        <f>'[3]Forecast (pcs.)'!R63</f>
        <v>276</v>
      </c>
      <c r="S63" s="53">
        <f>'[3]Forecast (pcs.)'!S63</f>
        <v>3600</v>
      </c>
      <c r="T63" s="53">
        <f>'[3]Forecast (pcs.)'!T63</f>
        <v>2079</v>
      </c>
      <c r="U63" s="53">
        <f>'[3]Forecast (pcs.)'!U63</f>
        <v>2663</v>
      </c>
      <c r="V63" s="53">
        <f>'[3]Forecast (pcs.)'!V63</f>
        <v>1929</v>
      </c>
      <c r="W63" s="53">
        <f>'[3]Forecast (pcs.)'!W63</f>
        <v>2025</v>
      </c>
      <c r="X63" s="53">
        <f>'[3]Forecast (pcs.)'!X63</f>
        <v>1558</v>
      </c>
      <c r="Y63" s="53">
        <f>'[3]Forecast (pcs.)'!Y63</f>
        <v>1223</v>
      </c>
      <c r="Z63" s="53">
        <f>'[3]Forecast (pcs.)'!Z63</f>
        <v>1854</v>
      </c>
      <c r="AA63" s="53">
        <f>'[3]Forecast (pcs.)'!AA63</f>
        <v>2025</v>
      </c>
      <c r="AB63" s="53">
        <f>'[3]Forecast (pcs.)'!AB63</f>
        <v>2308</v>
      </c>
      <c r="AD63" s="6">
        <f t="shared" si="4"/>
        <v>1920.9166666666667</v>
      </c>
    </row>
    <row r="64" spans="1:30" ht="15" customHeight="1" x14ac:dyDescent="0.25">
      <c r="A64" s="2">
        <v>6429</v>
      </c>
      <c r="B64" s="15" t="s">
        <v>47</v>
      </c>
      <c r="C64" s="20">
        <v>6429</v>
      </c>
      <c r="D64" s="16" t="s">
        <v>227</v>
      </c>
      <c r="E64" s="17">
        <v>42</v>
      </c>
      <c r="F64" s="18">
        <v>4400</v>
      </c>
      <c r="G64" s="21">
        <v>3000</v>
      </c>
      <c r="H64" s="6">
        <v>3400</v>
      </c>
      <c r="I64" s="22">
        <v>3600</v>
      </c>
      <c r="J64" s="22">
        <v>6000</v>
      </c>
      <c r="K64" s="22">
        <v>6800</v>
      </c>
      <c r="L64" s="22">
        <v>5400</v>
      </c>
      <c r="M64" s="22">
        <v>2200</v>
      </c>
      <c r="N64" s="22">
        <v>2000</v>
      </c>
      <c r="O64" s="22">
        <v>2200</v>
      </c>
      <c r="P64" s="22">
        <v>1000</v>
      </c>
      <c r="Q64" s="53">
        <f>'[3]Forecast (pcs.)'!Q64</f>
        <v>0</v>
      </c>
      <c r="R64" s="53">
        <f>'[3]Forecast (pcs.)'!R64</f>
        <v>0</v>
      </c>
      <c r="S64" s="53">
        <f>'[3]Forecast (pcs.)'!S64</f>
        <v>0</v>
      </c>
      <c r="T64" s="53">
        <f>'[3]Forecast (pcs.)'!T64</f>
        <v>1400</v>
      </c>
      <c r="U64" s="53">
        <f>'[3]Forecast (pcs.)'!U64</f>
        <v>2500</v>
      </c>
      <c r="V64" s="53">
        <f>'[3]Forecast (pcs.)'!V64</f>
        <v>2125</v>
      </c>
      <c r="W64" s="53">
        <f>'[3]Forecast (pcs.)'!W64</f>
        <v>3075</v>
      </c>
      <c r="X64" s="53">
        <f>'[3]Forecast (pcs.)'!X64</f>
        <v>2250</v>
      </c>
      <c r="Y64" s="53">
        <f>'[3]Forecast (pcs.)'!Y64</f>
        <v>3178</v>
      </c>
      <c r="Z64" s="53">
        <f>'[3]Forecast (pcs.)'!Z64</f>
        <v>3292</v>
      </c>
      <c r="AA64" s="53">
        <f>'[3]Forecast (pcs.)'!AA64</f>
        <v>3686</v>
      </c>
      <c r="AB64" s="53">
        <f>'[3]Forecast (pcs.)'!AB64</f>
        <v>2072</v>
      </c>
      <c r="AD64" s="6">
        <f t="shared" si="4"/>
        <v>1964.8333333333333</v>
      </c>
    </row>
    <row r="65" spans="1:30" ht="15" customHeight="1" x14ac:dyDescent="0.25">
      <c r="A65" s="2">
        <v>6110</v>
      </c>
      <c r="B65" s="15" t="s">
        <v>135</v>
      </c>
      <c r="C65" s="20">
        <v>6110</v>
      </c>
      <c r="D65" s="16" t="s">
        <v>134</v>
      </c>
      <c r="E65" s="17">
        <v>32.85</v>
      </c>
      <c r="F65" s="18">
        <v>966</v>
      </c>
      <c r="G65" s="21">
        <v>882</v>
      </c>
      <c r="H65" s="6">
        <v>420</v>
      </c>
      <c r="I65" s="22">
        <v>252</v>
      </c>
      <c r="J65" s="22">
        <v>0</v>
      </c>
      <c r="K65" s="22">
        <v>0</v>
      </c>
      <c r="L65" s="22">
        <v>672</v>
      </c>
      <c r="M65" s="22">
        <v>504</v>
      </c>
      <c r="N65" s="22">
        <v>462</v>
      </c>
      <c r="O65" s="22">
        <v>630</v>
      </c>
      <c r="P65" s="22">
        <v>882</v>
      </c>
      <c r="Q65" s="53">
        <f>'[3]Forecast (pcs.)'!Q65</f>
        <v>0</v>
      </c>
      <c r="R65" s="53">
        <f>'[3]Forecast (pcs.)'!R65</f>
        <v>0</v>
      </c>
      <c r="S65" s="53">
        <f>'[3]Forecast (pcs.)'!S65</f>
        <v>0</v>
      </c>
      <c r="T65" s="53">
        <f>'[3]Forecast (pcs.)'!T65</f>
        <v>0</v>
      </c>
      <c r="U65" s="53">
        <f>'[3]Forecast (pcs.)'!U65</f>
        <v>0</v>
      </c>
      <c r="V65" s="53">
        <f>'[3]Forecast (pcs.)'!V65</f>
        <v>0</v>
      </c>
      <c r="W65" s="53">
        <f>'[3]Forecast (pcs.)'!W65</f>
        <v>0</v>
      </c>
      <c r="X65" s="53">
        <f>'[3]Forecast (pcs.)'!X65</f>
        <v>0</v>
      </c>
      <c r="Y65" s="53">
        <f>'[3]Forecast (pcs.)'!Y65</f>
        <v>0</v>
      </c>
      <c r="Z65" s="53">
        <f>'[3]Forecast (pcs.)'!Z65</f>
        <v>0</v>
      </c>
      <c r="AA65" s="53">
        <f>'[3]Forecast (pcs.)'!AA65</f>
        <v>0</v>
      </c>
      <c r="AB65" s="53">
        <f>'[3]Forecast (pcs.)'!AB65</f>
        <v>0</v>
      </c>
      <c r="AD65" s="6">
        <f t="shared" si="4"/>
        <v>0</v>
      </c>
    </row>
    <row r="66" spans="1:30" ht="15" customHeight="1" x14ac:dyDescent="0.25">
      <c r="A66" s="2">
        <v>6312</v>
      </c>
      <c r="B66" s="15" t="s">
        <v>36</v>
      </c>
      <c r="C66" s="20">
        <v>6312</v>
      </c>
      <c r="D66" s="16" t="s">
        <v>183</v>
      </c>
      <c r="E66" s="17">
        <v>100.07</v>
      </c>
      <c r="F66" s="18">
        <v>2771</v>
      </c>
      <c r="G66" s="21">
        <v>2151</v>
      </c>
      <c r="H66" s="6">
        <v>1389</v>
      </c>
      <c r="I66" s="22">
        <v>2142</v>
      </c>
      <c r="J66" s="22">
        <v>1595</v>
      </c>
      <c r="K66" s="22">
        <v>2391</v>
      </c>
      <c r="L66" s="22">
        <v>1144</v>
      </c>
      <c r="M66" s="22">
        <v>2032</v>
      </c>
      <c r="N66" s="22">
        <v>1339</v>
      </c>
      <c r="O66" s="22">
        <v>1505</v>
      </c>
      <c r="P66" s="22">
        <v>1427</v>
      </c>
      <c r="Q66" s="53">
        <f>'[3]Forecast (pcs.)'!Q66</f>
        <v>20</v>
      </c>
      <c r="R66" s="53">
        <f>'[3]Forecast (pcs.)'!R66</f>
        <v>39</v>
      </c>
      <c r="S66" s="53">
        <f>'[3]Forecast (pcs.)'!S66</f>
        <v>15</v>
      </c>
      <c r="T66" s="53">
        <f>'[3]Forecast (pcs.)'!T66</f>
        <v>66</v>
      </c>
      <c r="U66" s="53">
        <f>'[3]Forecast (pcs.)'!U66</f>
        <v>32</v>
      </c>
      <c r="V66" s="53">
        <f>'[3]Forecast (pcs.)'!V66</f>
        <v>30</v>
      </c>
      <c r="W66" s="53">
        <f>'[3]Forecast (pcs.)'!W66</f>
        <v>35</v>
      </c>
      <c r="X66" s="53">
        <f>'[3]Forecast (pcs.)'!X66</f>
        <v>35</v>
      </c>
      <c r="Y66" s="53">
        <f>'[3]Forecast (pcs.)'!Y66</f>
        <v>30</v>
      </c>
      <c r="Z66" s="53">
        <f>'[3]Forecast (pcs.)'!Z66</f>
        <v>15</v>
      </c>
      <c r="AA66" s="53">
        <f>'[3]Forecast (pcs.)'!AA66</f>
        <v>110</v>
      </c>
      <c r="AB66" s="53">
        <f>'[3]Forecast (pcs.)'!AB66</f>
        <v>120</v>
      </c>
      <c r="AC66" t="str">
        <f t="shared" ref="AC66:AC97" si="5">C66&amp;B66</f>
        <v>6312IEMT</v>
      </c>
      <c r="AD66" s="6">
        <f t="shared" si="4"/>
        <v>45.583333333333336</v>
      </c>
    </row>
    <row r="67" spans="1:30" ht="15" customHeight="1" x14ac:dyDescent="0.25">
      <c r="A67" s="2">
        <v>6313</v>
      </c>
      <c r="B67" s="30" t="s">
        <v>36</v>
      </c>
      <c r="C67" s="20">
        <v>6313</v>
      </c>
      <c r="D67" s="16" t="s">
        <v>197</v>
      </c>
      <c r="E67" s="17">
        <v>79.760000000000005</v>
      </c>
      <c r="F67" s="18">
        <v>2771</v>
      </c>
      <c r="G67" s="21">
        <v>2571</v>
      </c>
      <c r="H67" s="6">
        <v>1194</v>
      </c>
      <c r="I67" s="22">
        <v>2337</v>
      </c>
      <c r="J67" s="22">
        <v>1595</v>
      </c>
      <c r="K67" s="22">
        <v>2390</v>
      </c>
      <c r="L67" s="22">
        <v>1142</v>
      </c>
      <c r="M67" s="22">
        <v>2030</v>
      </c>
      <c r="N67" s="22">
        <v>1338</v>
      </c>
      <c r="O67" s="22">
        <v>1504</v>
      </c>
      <c r="P67" s="22">
        <v>1427</v>
      </c>
      <c r="Q67" s="53">
        <f>'[3]Forecast (pcs.)'!Q67</f>
        <v>20</v>
      </c>
      <c r="R67" s="53">
        <f>'[3]Forecast (pcs.)'!R67</f>
        <v>39</v>
      </c>
      <c r="S67" s="53">
        <f>'[3]Forecast (pcs.)'!S67</f>
        <v>15</v>
      </c>
      <c r="T67" s="53">
        <f>'[3]Forecast (pcs.)'!T67</f>
        <v>66</v>
      </c>
      <c r="U67" s="53">
        <f>'[3]Forecast (pcs.)'!U67</f>
        <v>32</v>
      </c>
      <c r="V67" s="53">
        <f>'[3]Forecast (pcs.)'!V67</f>
        <v>30</v>
      </c>
      <c r="W67" s="53">
        <f>'[3]Forecast (pcs.)'!W67</f>
        <v>35</v>
      </c>
      <c r="X67" s="53">
        <f>'[3]Forecast (pcs.)'!X67</f>
        <v>35</v>
      </c>
      <c r="Y67" s="53">
        <f>'[3]Forecast (pcs.)'!Y67</f>
        <v>30</v>
      </c>
      <c r="Z67" s="53">
        <f>'[3]Forecast (pcs.)'!Z67</f>
        <v>15</v>
      </c>
      <c r="AA67" s="53">
        <f>'[3]Forecast (pcs.)'!AA67</f>
        <v>110</v>
      </c>
      <c r="AB67" s="53">
        <f>'[3]Forecast (pcs.)'!AB67</f>
        <v>120</v>
      </c>
      <c r="AC67" t="str">
        <f t="shared" si="5"/>
        <v>6313IEMT</v>
      </c>
      <c r="AD67" s="6">
        <f t="shared" si="4"/>
        <v>45.583333333333336</v>
      </c>
    </row>
    <row r="68" spans="1:30" ht="15" customHeight="1" x14ac:dyDescent="0.25">
      <c r="A68" s="2">
        <v>6314</v>
      </c>
      <c r="B68" s="15" t="s">
        <v>36</v>
      </c>
      <c r="C68" s="20">
        <v>6314</v>
      </c>
      <c r="D68" s="16" t="s">
        <v>193</v>
      </c>
      <c r="E68" s="17">
        <v>175.15</v>
      </c>
      <c r="F68" s="18">
        <v>2858</v>
      </c>
      <c r="G68" s="21">
        <v>2366</v>
      </c>
      <c r="H68" s="6">
        <v>1435</v>
      </c>
      <c r="I68" s="22">
        <v>2379</v>
      </c>
      <c r="J68" s="22">
        <v>1860</v>
      </c>
      <c r="K68" s="22">
        <v>2640</v>
      </c>
      <c r="L68" s="22">
        <v>1144</v>
      </c>
      <c r="M68" s="22">
        <v>2030</v>
      </c>
      <c r="N68" s="22">
        <v>1332</v>
      </c>
      <c r="O68" s="22">
        <v>1491</v>
      </c>
      <c r="P68" s="22">
        <v>1420</v>
      </c>
      <c r="Q68" s="53">
        <f>'[3]Forecast (pcs.)'!Q68</f>
        <v>20</v>
      </c>
      <c r="R68" s="53">
        <f>'[3]Forecast (pcs.)'!R68</f>
        <v>39</v>
      </c>
      <c r="S68" s="53">
        <f>'[3]Forecast (pcs.)'!S68</f>
        <v>15</v>
      </c>
      <c r="T68" s="53">
        <f>'[3]Forecast (pcs.)'!T68</f>
        <v>81</v>
      </c>
      <c r="U68" s="53">
        <f>'[3]Forecast (pcs.)'!U68</f>
        <v>32</v>
      </c>
      <c r="V68" s="53">
        <f>'[3]Forecast (pcs.)'!V68</f>
        <v>30</v>
      </c>
      <c r="W68" s="53">
        <f>'[3]Forecast (pcs.)'!W68</f>
        <v>35</v>
      </c>
      <c r="X68" s="53">
        <f>'[3]Forecast (pcs.)'!X68</f>
        <v>35</v>
      </c>
      <c r="Y68" s="53">
        <f>'[3]Forecast (pcs.)'!Y68</f>
        <v>30</v>
      </c>
      <c r="Z68" s="53">
        <f>'[3]Forecast (pcs.)'!Z68</f>
        <v>15</v>
      </c>
      <c r="AA68" s="53">
        <f>'[3]Forecast (pcs.)'!AA68</f>
        <v>110</v>
      </c>
      <c r="AB68" s="53">
        <f>'[3]Forecast (pcs.)'!AB68</f>
        <v>120</v>
      </c>
      <c r="AC68" t="str">
        <f t="shared" si="5"/>
        <v>6314IEMT</v>
      </c>
      <c r="AD68" s="6">
        <f t="shared" si="4"/>
        <v>46.833333333333336</v>
      </c>
    </row>
    <row r="69" spans="1:30" ht="15" customHeight="1" x14ac:dyDescent="0.25">
      <c r="A69" s="2">
        <v>6315</v>
      </c>
      <c r="B69" s="15" t="s">
        <v>36</v>
      </c>
      <c r="C69" s="20">
        <v>6315</v>
      </c>
      <c r="D69" s="16" t="s">
        <v>213</v>
      </c>
      <c r="E69" s="17">
        <v>39.92</v>
      </c>
      <c r="F69" s="18">
        <v>2880</v>
      </c>
      <c r="G69" s="21">
        <v>3481</v>
      </c>
      <c r="H69" s="6">
        <v>3036</v>
      </c>
      <c r="I69" s="22">
        <v>4342</v>
      </c>
      <c r="J69" s="22">
        <v>3133</v>
      </c>
      <c r="K69" s="22">
        <v>4593</v>
      </c>
      <c r="L69" s="22">
        <v>4776</v>
      </c>
      <c r="M69" s="22">
        <v>6052</v>
      </c>
      <c r="N69" s="22">
        <v>4819</v>
      </c>
      <c r="O69" s="22">
        <v>3596</v>
      </c>
      <c r="P69" s="22">
        <v>4543</v>
      </c>
      <c r="Q69" s="53">
        <f>'[3]Forecast (pcs.)'!Q69</f>
        <v>3458</v>
      </c>
      <c r="R69" s="53">
        <f>'[3]Forecast (pcs.)'!R69</f>
        <v>3835</v>
      </c>
      <c r="S69" s="53">
        <f>'[3]Forecast (pcs.)'!S69</f>
        <v>4395</v>
      </c>
      <c r="T69" s="53">
        <f>'[3]Forecast (pcs.)'!T69</f>
        <v>3295</v>
      </c>
      <c r="U69" s="53">
        <f>'[3]Forecast (pcs.)'!U69</f>
        <v>4007</v>
      </c>
      <c r="V69" s="53">
        <f>'[3]Forecast (pcs.)'!V69</f>
        <v>4036</v>
      </c>
      <c r="W69" s="53">
        <f>'[3]Forecast (pcs.)'!W69</f>
        <v>3565</v>
      </c>
      <c r="X69" s="53">
        <f>'[3]Forecast (pcs.)'!X69</f>
        <v>4601</v>
      </c>
      <c r="Y69" s="53">
        <f>'[3]Forecast (pcs.)'!Y69</f>
        <v>4345</v>
      </c>
      <c r="Z69" s="53">
        <f>'[3]Forecast (pcs.)'!Z69</f>
        <v>2482</v>
      </c>
      <c r="AA69" s="53">
        <f>'[3]Forecast (pcs.)'!AA69</f>
        <v>1801</v>
      </c>
      <c r="AB69" s="53">
        <f>'[3]Forecast (pcs.)'!AB69</f>
        <v>1437</v>
      </c>
      <c r="AC69" t="str">
        <f t="shared" si="5"/>
        <v>6315IEMT</v>
      </c>
      <c r="AD69" s="6">
        <f t="shared" si="4"/>
        <v>3438.0833333333335</v>
      </c>
    </row>
    <row r="70" spans="1:30" ht="15" customHeight="1" x14ac:dyDescent="0.25">
      <c r="A70" s="2">
        <v>6316</v>
      </c>
      <c r="B70" s="15" t="s">
        <v>36</v>
      </c>
      <c r="C70" s="20">
        <v>6316</v>
      </c>
      <c r="D70" s="16" t="s">
        <v>325</v>
      </c>
      <c r="E70" s="17">
        <v>4</v>
      </c>
      <c r="F70" s="18">
        <v>0</v>
      </c>
      <c r="G70" s="21">
        <v>0</v>
      </c>
      <c r="H70" s="6">
        <v>1</v>
      </c>
      <c r="I70" s="22">
        <v>0</v>
      </c>
      <c r="J70" s="22">
        <v>0</v>
      </c>
      <c r="K70" s="22">
        <v>0</v>
      </c>
      <c r="L70" s="22">
        <v>0</v>
      </c>
      <c r="M70" s="22">
        <v>7</v>
      </c>
      <c r="N70" s="22">
        <v>0</v>
      </c>
      <c r="O70" s="22">
        <v>0</v>
      </c>
      <c r="P70" s="22">
        <v>0</v>
      </c>
      <c r="Q70" s="53">
        <f>'[3]Forecast (pcs.)'!Q70</f>
        <v>0</v>
      </c>
      <c r="R70" s="53">
        <f>'[3]Forecast (pcs.)'!R70</f>
        <v>14</v>
      </c>
      <c r="S70" s="53">
        <f>'[3]Forecast (pcs.)'!S70</f>
        <v>0</v>
      </c>
      <c r="T70" s="53">
        <f>'[3]Forecast (pcs.)'!T70</f>
        <v>0</v>
      </c>
      <c r="U70" s="53">
        <f>'[3]Forecast (pcs.)'!U70</f>
        <v>0</v>
      </c>
      <c r="V70" s="53">
        <f>'[3]Forecast (pcs.)'!V70</f>
        <v>0</v>
      </c>
      <c r="W70" s="53">
        <f>'[3]Forecast (pcs.)'!W70</f>
        <v>0</v>
      </c>
      <c r="X70" s="53">
        <f>'[3]Forecast (pcs.)'!X70</f>
        <v>0</v>
      </c>
      <c r="Y70" s="53">
        <f>'[3]Forecast (pcs.)'!Y70</f>
        <v>0</v>
      </c>
      <c r="Z70" s="53">
        <f>'[3]Forecast (pcs.)'!Z70</f>
        <v>0</v>
      </c>
      <c r="AA70" s="53">
        <f>'[3]Forecast (pcs.)'!AA70</f>
        <v>0</v>
      </c>
      <c r="AB70" s="53">
        <f>'[3]Forecast (pcs.)'!AB70</f>
        <v>0</v>
      </c>
      <c r="AC70" t="str">
        <f t="shared" si="5"/>
        <v>6316IEMT</v>
      </c>
      <c r="AD70" s="6">
        <f t="shared" si="4"/>
        <v>1.1666666666666667</v>
      </c>
    </row>
    <row r="71" spans="1:30" ht="15" customHeight="1" x14ac:dyDescent="0.25">
      <c r="A71" s="2">
        <v>6317</v>
      </c>
      <c r="B71" s="15" t="s">
        <v>36</v>
      </c>
      <c r="C71" s="31">
        <v>6317</v>
      </c>
      <c r="D71" s="16" t="s">
        <v>326</v>
      </c>
      <c r="E71" s="17">
        <v>0</v>
      </c>
      <c r="F71" s="18">
        <v>0</v>
      </c>
      <c r="G71" s="32">
        <v>0</v>
      </c>
      <c r="H71" s="18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53">
        <f>'[3]Forecast (pcs.)'!Q71</f>
        <v>0</v>
      </c>
      <c r="R71" s="53">
        <f>'[3]Forecast (pcs.)'!R71</f>
        <v>0</v>
      </c>
      <c r="S71" s="53">
        <f>'[3]Forecast (pcs.)'!S71</f>
        <v>0</v>
      </c>
      <c r="T71" s="53">
        <f>'[3]Forecast (pcs.)'!T71</f>
        <v>0</v>
      </c>
      <c r="U71" s="53">
        <f>'[3]Forecast (pcs.)'!U71</f>
        <v>0</v>
      </c>
      <c r="V71" s="53">
        <f>'[3]Forecast (pcs.)'!V71</f>
        <v>0</v>
      </c>
      <c r="W71" s="53">
        <f>'[3]Forecast (pcs.)'!W71</f>
        <v>0</v>
      </c>
      <c r="X71" s="53">
        <f>'[3]Forecast (pcs.)'!X71</f>
        <v>0</v>
      </c>
      <c r="Y71" s="53">
        <f>'[3]Forecast (pcs.)'!Y71</f>
        <v>0</v>
      </c>
      <c r="Z71" s="53">
        <f>'[3]Forecast (pcs.)'!Z71</f>
        <v>0</v>
      </c>
      <c r="AA71" s="53">
        <f>'[3]Forecast (pcs.)'!AA71</f>
        <v>0</v>
      </c>
      <c r="AB71" s="53">
        <f>'[3]Forecast (pcs.)'!AB71</f>
        <v>0</v>
      </c>
      <c r="AC71" t="str">
        <f t="shared" si="5"/>
        <v>6317IEMT</v>
      </c>
      <c r="AD71" s="6">
        <f t="shared" si="4"/>
        <v>0</v>
      </c>
    </row>
    <row r="72" spans="1:30" ht="15" customHeight="1" x14ac:dyDescent="0.25">
      <c r="A72" s="2">
        <v>6318</v>
      </c>
      <c r="B72" s="15" t="s">
        <v>36</v>
      </c>
      <c r="C72" s="20">
        <v>6318</v>
      </c>
      <c r="D72" s="16" t="s">
        <v>198</v>
      </c>
      <c r="E72" s="17">
        <v>1125.04</v>
      </c>
      <c r="F72" s="18">
        <v>84</v>
      </c>
      <c r="G72" s="21">
        <v>4</v>
      </c>
      <c r="H72" s="6">
        <v>40</v>
      </c>
      <c r="I72" s="22">
        <v>32</v>
      </c>
      <c r="J72" s="22">
        <v>0</v>
      </c>
      <c r="K72" s="22">
        <v>0</v>
      </c>
      <c r="L72" s="22">
        <v>0</v>
      </c>
      <c r="M72" s="22">
        <v>0</v>
      </c>
      <c r="N72" s="22">
        <v>30</v>
      </c>
      <c r="O72" s="22">
        <v>0</v>
      </c>
      <c r="P72" s="22">
        <v>40</v>
      </c>
      <c r="Q72" s="53">
        <f>'[3]Forecast (pcs.)'!Q72</f>
        <v>0</v>
      </c>
      <c r="R72" s="53">
        <f>'[3]Forecast (pcs.)'!R72</f>
        <v>0</v>
      </c>
      <c r="S72" s="53">
        <f>'[3]Forecast (pcs.)'!S72</f>
        <v>30</v>
      </c>
      <c r="T72" s="53">
        <f>'[3]Forecast (pcs.)'!T72</f>
        <v>176</v>
      </c>
      <c r="U72" s="53">
        <f>'[3]Forecast (pcs.)'!U72</f>
        <v>82</v>
      </c>
      <c r="V72" s="53">
        <f>'[3]Forecast (pcs.)'!V72</f>
        <v>60</v>
      </c>
      <c r="W72" s="53">
        <f>'[3]Forecast (pcs.)'!W72</f>
        <v>30</v>
      </c>
      <c r="X72" s="53">
        <f>'[3]Forecast (pcs.)'!X72</f>
        <v>12</v>
      </c>
      <c r="Y72" s="53">
        <f>'[3]Forecast (pcs.)'!Y72</f>
        <v>31</v>
      </c>
      <c r="Z72" s="53">
        <f>'[3]Forecast (pcs.)'!Z72</f>
        <v>14</v>
      </c>
      <c r="AA72" s="53">
        <f>'[3]Forecast (pcs.)'!AA72</f>
        <v>24</v>
      </c>
      <c r="AB72" s="53">
        <f>'[3]Forecast (pcs.)'!AB72</f>
        <v>12</v>
      </c>
      <c r="AC72" t="str">
        <f t="shared" si="5"/>
        <v>6318IEMT</v>
      </c>
      <c r="AD72" s="6">
        <f t="shared" si="4"/>
        <v>39.25</v>
      </c>
    </row>
    <row r="73" spans="1:30" ht="15" customHeight="1" x14ac:dyDescent="0.25">
      <c r="A73" s="2">
        <v>6319</v>
      </c>
      <c r="B73" s="15" t="s">
        <v>36</v>
      </c>
      <c r="C73" s="20">
        <v>6319</v>
      </c>
      <c r="D73" s="16" t="s">
        <v>199</v>
      </c>
      <c r="E73" s="17">
        <v>536.5</v>
      </c>
      <c r="F73" s="18">
        <v>84</v>
      </c>
      <c r="G73" s="21">
        <v>4</v>
      </c>
      <c r="H73" s="6">
        <v>0</v>
      </c>
      <c r="I73" s="22">
        <v>36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60</v>
      </c>
      <c r="P73" s="22">
        <v>0</v>
      </c>
      <c r="Q73" s="53">
        <f>'[3]Forecast (pcs.)'!Q73</f>
        <v>0</v>
      </c>
      <c r="R73" s="53">
        <f>'[3]Forecast (pcs.)'!R73</f>
        <v>0</v>
      </c>
      <c r="S73" s="53">
        <f>'[3]Forecast (pcs.)'!S73</f>
        <v>32</v>
      </c>
      <c r="T73" s="53">
        <f>'[3]Forecast (pcs.)'!T73</f>
        <v>28</v>
      </c>
      <c r="U73" s="53">
        <f>'[3]Forecast (pcs.)'!U73</f>
        <v>82</v>
      </c>
      <c r="V73" s="53">
        <f>'[3]Forecast (pcs.)'!V73</f>
        <v>60</v>
      </c>
      <c r="W73" s="53">
        <f>'[3]Forecast (pcs.)'!W73</f>
        <v>30</v>
      </c>
      <c r="X73" s="53">
        <f>'[3]Forecast (pcs.)'!X73</f>
        <v>12</v>
      </c>
      <c r="Y73" s="53">
        <f>'[3]Forecast (pcs.)'!Y73</f>
        <v>30</v>
      </c>
      <c r="Z73" s="53">
        <f>'[3]Forecast (pcs.)'!Z73</f>
        <v>14</v>
      </c>
      <c r="AA73" s="53">
        <f>'[3]Forecast (pcs.)'!AA73</f>
        <v>24</v>
      </c>
      <c r="AB73" s="53">
        <f>'[3]Forecast (pcs.)'!AB73</f>
        <v>12</v>
      </c>
      <c r="AC73" t="str">
        <f t="shared" si="5"/>
        <v>6319IEMT</v>
      </c>
      <c r="AD73" s="6">
        <f t="shared" si="4"/>
        <v>27</v>
      </c>
    </row>
    <row r="74" spans="1:30" ht="15" customHeight="1" x14ac:dyDescent="0.25">
      <c r="A74" s="2">
        <v>6601</v>
      </c>
      <c r="B74" s="15" t="s">
        <v>36</v>
      </c>
      <c r="C74" s="20">
        <v>6601</v>
      </c>
      <c r="D74" s="16" t="s">
        <v>35</v>
      </c>
      <c r="E74" s="17">
        <v>20.79</v>
      </c>
      <c r="F74" s="18">
        <v>0</v>
      </c>
      <c r="G74" s="21">
        <v>0</v>
      </c>
      <c r="H74" s="6">
        <v>19</v>
      </c>
      <c r="I74" s="22">
        <v>30</v>
      </c>
      <c r="J74" s="22">
        <v>0</v>
      </c>
      <c r="K74" s="22">
        <v>0</v>
      </c>
      <c r="L74" s="22">
        <v>6333</v>
      </c>
      <c r="M74" s="22">
        <v>9780</v>
      </c>
      <c r="N74" s="22">
        <v>13745</v>
      </c>
      <c r="O74" s="22">
        <v>14914</v>
      </c>
      <c r="P74" s="22">
        <v>19313</v>
      </c>
      <c r="Q74" s="53">
        <f>'[3]Forecast (pcs.)'!Q74</f>
        <v>21162</v>
      </c>
      <c r="R74" s="53">
        <f>'[3]Forecast (pcs.)'!R74</f>
        <v>15649</v>
      </c>
      <c r="S74" s="53">
        <f>'[3]Forecast (pcs.)'!S74</f>
        <v>19552</v>
      </c>
      <c r="T74" s="53">
        <f>'[3]Forecast (pcs.)'!T74</f>
        <v>15750</v>
      </c>
      <c r="U74" s="53">
        <f>'[3]Forecast (pcs.)'!U74</f>
        <v>21360</v>
      </c>
      <c r="V74" s="53">
        <f>'[3]Forecast (pcs.)'!V74</f>
        <v>7710</v>
      </c>
      <c r="W74" s="53">
        <f>'[3]Forecast (pcs.)'!W74</f>
        <v>17615</v>
      </c>
      <c r="X74" s="53">
        <f>'[3]Forecast (pcs.)'!X74</f>
        <v>17453</v>
      </c>
      <c r="Y74" s="53">
        <f>'[3]Forecast (pcs.)'!Y74</f>
        <v>18717</v>
      </c>
      <c r="Z74" s="53">
        <f>'[3]Forecast (pcs.)'!Z74</f>
        <v>23242</v>
      </c>
      <c r="AA74" s="53">
        <f>'[3]Forecast (pcs.)'!AA74</f>
        <v>24654</v>
      </c>
      <c r="AB74" s="53">
        <f>'[3]Forecast (pcs.)'!AB74</f>
        <v>23657</v>
      </c>
      <c r="AC74" t="str">
        <f t="shared" si="5"/>
        <v>6601IEMT</v>
      </c>
      <c r="AD74" s="6">
        <f t="shared" si="4"/>
        <v>18876.75</v>
      </c>
    </row>
    <row r="75" spans="1:30" ht="15" customHeight="1" x14ac:dyDescent="0.25">
      <c r="A75" s="2">
        <v>5202</v>
      </c>
      <c r="B75" s="15" t="s">
        <v>57</v>
      </c>
      <c r="C75" s="20">
        <v>5202</v>
      </c>
      <c r="D75" s="16" t="s">
        <v>68</v>
      </c>
      <c r="E75" s="17">
        <v>107.3</v>
      </c>
      <c r="F75" s="18">
        <v>960</v>
      </c>
      <c r="G75" s="21">
        <v>1392</v>
      </c>
      <c r="H75" s="6">
        <v>1128</v>
      </c>
      <c r="I75" s="22">
        <v>972</v>
      </c>
      <c r="J75" s="22">
        <v>912</v>
      </c>
      <c r="K75" s="22">
        <v>1620</v>
      </c>
      <c r="L75" s="22">
        <v>1332</v>
      </c>
      <c r="M75" s="22">
        <v>1214</v>
      </c>
      <c r="N75" s="22">
        <v>1236</v>
      </c>
      <c r="O75" s="22">
        <v>984</v>
      </c>
      <c r="P75" s="22">
        <v>696</v>
      </c>
      <c r="Q75" s="53">
        <f>'[3]Forecast (pcs.)'!Q75</f>
        <v>1428</v>
      </c>
      <c r="R75" s="53">
        <f>'[3]Forecast (pcs.)'!R75</f>
        <v>1296</v>
      </c>
      <c r="S75" s="53">
        <f>'[3]Forecast (pcs.)'!S75</f>
        <v>1212</v>
      </c>
      <c r="T75" s="53">
        <f>'[3]Forecast (pcs.)'!T75</f>
        <v>540</v>
      </c>
      <c r="U75" s="53">
        <f>'[3]Forecast (pcs.)'!U75</f>
        <v>588</v>
      </c>
      <c r="V75" s="53">
        <f>'[3]Forecast (pcs.)'!V75</f>
        <v>696</v>
      </c>
      <c r="W75" s="53">
        <f>'[3]Forecast (pcs.)'!W75</f>
        <v>1158</v>
      </c>
      <c r="X75" s="53">
        <f>'[3]Forecast (pcs.)'!X75</f>
        <v>1956</v>
      </c>
      <c r="Y75" s="53">
        <f>'[3]Forecast (pcs.)'!Y75</f>
        <v>2094</v>
      </c>
      <c r="Z75" s="53">
        <f>'[3]Forecast (pcs.)'!Z75</f>
        <v>1530</v>
      </c>
      <c r="AA75" s="53">
        <f>'[3]Forecast (pcs.)'!AA75</f>
        <v>1566</v>
      </c>
      <c r="AB75" s="53">
        <f>'[3]Forecast (pcs.)'!AB75</f>
        <v>1650</v>
      </c>
      <c r="AC75" t="str">
        <f t="shared" si="5"/>
        <v>5202IGCE</v>
      </c>
      <c r="AD75" s="6">
        <f t="shared" si="4"/>
        <v>1309.5</v>
      </c>
    </row>
    <row r="76" spans="1:30" ht="15" customHeight="1" x14ac:dyDescent="0.25">
      <c r="A76" s="2">
        <v>5203</v>
      </c>
      <c r="B76" s="15" t="s">
        <v>57</v>
      </c>
      <c r="C76" s="20">
        <v>5203</v>
      </c>
      <c r="D76" s="16" t="s">
        <v>56</v>
      </c>
      <c r="E76" s="17">
        <v>86.95</v>
      </c>
      <c r="F76" s="18">
        <v>0</v>
      </c>
      <c r="G76" s="21">
        <v>0</v>
      </c>
      <c r="H76" s="6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100</v>
      </c>
      <c r="O76" s="22">
        <v>0</v>
      </c>
      <c r="P76" s="22">
        <v>0</v>
      </c>
      <c r="Q76" s="53">
        <f>'[3]Forecast (pcs.)'!Q76</f>
        <v>0</v>
      </c>
      <c r="R76" s="53">
        <f>'[3]Forecast (pcs.)'!R76</f>
        <v>0</v>
      </c>
      <c r="S76" s="53">
        <f>'[3]Forecast (pcs.)'!S76</f>
        <v>0</v>
      </c>
      <c r="T76" s="53">
        <f>'[3]Forecast (pcs.)'!T76</f>
        <v>0</v>
      </c>
      <c r="U76" s="53">
        <f>'[3]Forecast (pcs.)'!U76</f>
        <v>0</v>
      </c>
      <c r="V76" s="53">
        <f>'[3]Forecast (pcs.)'!V76</f>
        <v>0</v>
      </c>
      <c r="W76" s="53">
        <f>'[3]Forecast (pcs.)'!W76</f>
        <v>0</v>
      </c>
      <c r="X76" s="53">
        <f>'[3]Forecast (pcs.)'!X76</f>
        <v>0</v>
      </c>
      <c r="Y76" s="53">
        <f>'[3]Forecast (pcs.)'!Y76</f>
        <v>0</v>
      </c>
      <c r="Z76" s="53">
        <f>'[3]Forecast (pcs.)'!Z76</f>
        <v>0</v>
      </c>
      <c r="AA76" s="53">
        <f>'[3]Forecast (pcs.)'!AA76</f>
        <v>0</v>
      </c>
      <c r="AB76" s="53">
        <f>'[3]Forecast (pcs.)'!AB76</f>
        <v>0</v>
      </c>
      <c r="AC76" t="str">
        <f t="shared" si="5"/>
        <v>5203IGCE</v>
      </c>
      <c r="AD76" s="6">
        <f t="shared" si="4"/>
        <v>0</v>
      </c>
    </row>
    <row r="77" spans="1:30" ht="15" customHeight="1" x14ac:dyDescent="0.25">
      <c r="A77" s="2" t="s">
        <v>327</v>
      </c>
      <c r="B77" s="15" t="s">
        <v>57</v>
      </c>
      <c r="C77" s="20" t="s">
        <v>327</v>
      </c>
      <c r="D77" s="16" t="s">
        <v>66</v>
      </c>
      <c r="E77" s="17">
        <v>352.14</v>
      </c>
      <c r="F77" s="18">
        <v>0</v>
      </c>
      <c r="G77" s="21">
        <v>0</v>
      </c>
      <c r="H77" s="6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53">
        <f>'[3]Forecast (pcs.)'!Q77</f>
        <v>0</v>
      </c>
      <c r="R77" s="53">
        <f>'[3]Forecast (pcs.)'!R77</f>
        <v>0</v>
      </c>
      <c r="S77" s="53">
        <f>'[3]Forecast (pcs.)'!S77</f>
        <v>0</v>
      </c>
      <c r="T77" s="53">
        <f>'[3]Forecast (pcs.)'!T77</f>
        <v>0</v>
      </c>
      <c r="U77" s="53">
        <f>'[3]Forecast (pcs.)'!U77</f>
        <v>0</v>
      </c>
      <c r="V77" s="53">
        <f>'[3]Forecast (pcs.)'!V77</f>
        <v>0</v>
      </c>
      <c r="W77" s="53">
        <f>'[3]Forecast (pcs.)'!W77</f>
        <v>0</v>
      </c>
      <c r="X77" s="53">
        <f>'[3]Forecast (pcs.)'!X77</f>
        <v>0</v>
      </c>
      <c r="Y77" s="53">
        <f>'[3]Forecast (pcs.)'!Y77</f>
        <v>0</v>
      </c>
      <c r="Z77" s="53">
        <f>'[3]Forecast (pcs.)'!Z77</f>
        <v>0</v>
      </c>
      <c r="AA77" s="53">
        <f>'[3]Forecast (pcs.)'!AA77</f>
        <v>0</v>
      </c>
      <c r="AB77" s="53">
        <f>'[3]Forecast (pcs.)'!AB77</f>
        <v>0</v>
      </c>
      <c r="AC77" t="str">
        <f t="shared" si="5"/>
        <v>5246-IIGCE</v>
      </c>
      <c r="AD77" s="6">
        <f t="shared" si="4"/>
        <v>0</v>
      </c>
    </row>
    <row r="78" spans="1:30" ht="15" customHeight="1" x14ac:dyDescent="0.25">
      <c r="A78" s="2">
        <v>5314</v>
      </c>
      <c r="B78" s="15" t="s">
        <v>57</v>
      </c>
      <c r="C78" s="20">
        <v>5314</v>
      </c>
      <c r="D78" s="16" t="s">
        <v>228</v>
      </c>
      <c r="E78" s="17">
        <v>96.42</v>
      </c>
      <c r="F78" s="18">
        <v>1641</v>
      </c>
      <c r="G78" s="21">
        <v>1728</v>
      </c>
      <c r="H78" s="6">
        <v>2197</v>
      </c>
      <c r="I78" s="22">
        <v>3312</v>
      </c>
      <c r="J78" s="22">
        <v>2484</v>
      </c>
      <c r="K78" s="22">
        <v>2736</v>
      </c>
      <c r="L78" s="22">
        <v>2758</v>
      </c>
      <c r="M78" s="22">
        <v>4081</v>
      </c>
      <c r="N78" s="22">
        <v>3749</v>
      </c>
      <c r="O78" s="22">
        <v>5826</v>
      </c>
      <c r="P78" s="22">
        <v>3287</v>
      </c>
      <c r="Q78" s="53">
        <f>'[3]Forecast (pcs.)'!Q78</f>
        <v>2423</v>
      </c>
      <c r="R78" s="53">
        <f>'[3]Forecast (pcs.)'!R78</f>
        <v>3257</v>
      </c>
      <c r="S78" s="53">
        <f>'[3]Forecast (pcs.)'!S78</f>
        <v>2485</v>
      </c>
      <c r="T78" s="53">
        <f>'[3]Forecast (pcs.)'!T78</f>
        <v>3276</v>
      </c>
      <c r="U78" s="53">
        <f>'[3]Forecast (pcs.)'!U78</f>
        <v>5580</v>
      </c>
      <c r="V78" s="53">
        <f>'[3]Forecast (pcs.)'!V78</f>
        <v>2412</v>
      </c>
      <c r="W78" s="53">
        <f>'[3]Forecast (pcs.)'!W78</f>
        <v>6048</v>
      </c>
      <c r="X78" s="53">
        <f>'[3]Forecast (pcs.)'!X78</f>
        <v>6048</v>
      </c>
      <c r="Y78" s="53">
        <f>'[3]Forecast (pcs.)'!Y78</f>
        <v>5796</v>
      </c>
      <c r="Z78" s="53">
        <f>'[3]Forecast (pcs.)'!Z78</f>
        <v>5472</v>
      </c>
      <c r="AA78" s="53">
        <f>'[3]Forecast (pcs.)'!AA78</f>
        <v>5868</v>
      </c>
      <c r="AB78" s="53">
        <f>'[3]Forecast (pcs.)'!AB78</f>
        <v>6336</v>
      </c>
      <c r="AC78" t="str">
        <f t="shared" si="5"/>
        <v>5314IGCE</v>
      </c>
      <c r="AD78" s="6">
        <f t="shared" si="4"/>
        <v>4583.416666666667</v>
      </c>
    </row>
    <row r="79" spans="1:30" ht="15" customHeight="1" x14ac:dyDescent="0.25">
      <c r="A79" s="2">
        <v>5528</v>
      </c>
      <c r="B79" s="15" t="s">
        <v>57</v>
      </c>
      <c r="C79" s="20">
        <v>5528</v>
      </c>
      <c r="D79" s="16" t="s">
        <v>239</v>
      </c>
      <c r="E79" s="17">
        <v>253.29</v>
      </c>
      <c r="F79" s="18">
        <v>0</v>
      </c>
      <c r="G79" s="21"/>
      <c r="H79" s="6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53">
        <f>'[3]Forecast (pcs.)'!Q79</f>
        <v>0</v>
      </c>
      <c r="R79" s="53">
        <f>'[3]Forecast (pcs.)'!R79</f>
        <v>0</v>
      </c>
      <c r="S79" s="53">
        <f>'[3]Forecast (pcs.)'!S79</f>
        <v>0</v>
      </c>
      <c r="T79" s="53">
        <f>'[3]Forecast (pcs.)'!T79</f>
        <v>0</v>
      </c>
      <c r="U79" s="53">
        <f>'[3]Forecast (pcs.)'!U79</f>
        <v>0</v>
      </c>
      <c r="V79" s="53">
        <f>'[3]Forecast (pcs.)'!V79</f>
        <v>0</v>
      </c>
      <c r="W79" s="53">
        <f>'[3]Forecast (pcs.)'!W79</f>
        <v>0</v>
      </c>
      <c r="X79" s="53">
        <f>'[3]Forecast (pcs.)'!X79</f>
        <v>0</v>
      </c>
      <c r="Y79" s="53">
        <f>'[3]Forecast (pcs.)'!Y79</f>
        <v>0</v>
      </c>
      <c r="Z79" s="53">
        <f>'[3]Forecast (pcs.)'!Z79</f>
        <v>0</v>
      </c>
      <c r="AA79" s="53">
        <f>'[3]Forecast (pcs.)'!AA79</f>
        <v>0</v>
      </c>
      <c r="AB79" s="53">
        <f>'[3]Forecast (pcs.)'!AB79</f>
        <v>0</v>
      </c>
      <c r="AC79" t="str">
        <f t="shared" si="5"/>
        <v>5528IGCE</v>
      </c>
      <c r="AD79" s="6">
        <f t="shared" si="4"/>
        <v>0</v>
      </c>
    </row>
    <row r="80" spans="1:30" ht="15" customHeight="1" x14ac:dyDescent="0.25">
      <c r="A80" s="2">
        <v>5529</v>
      </c>
      <c r="B80" s="15" t="s">
        <v>57</v>
      </c>
      <c r="C80" s="20">
        <v>5529</v>
      </c>
      <c r="D80" s="16" t="s">
        <v>67</v>
      </c>
      <c r="E80" s="17">
        <v>368.02</v>
      </c>
      <c r="F80" s="18">
        <v>0</v>
      </c>
      <c r="G80" s="21"/>
      <c r="H80" s="6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53">
        <f>'[3]Forecast (pcs.)'!Q80</f>
        <v>0</v>
      </c>
      <c r="R80" s="53">
        <f>'[3]Forecast (pcs.)'!R80</f>
        <v>0</v>
      </c>
      <c r="S80" s="53">
        <f>'[3]Forecast (pcs.)'!S80</f>
        <v>0</v>
      </c>
      <c r="T80" s="53">
        <f>'[3]Forecast (pcs.)'!T80</f>
        <v>0</v>
      </c>
      <c r="U80" s="53">
        <f>'[3]Forecast (pcs.)'!U80</f>
        <v>0</v>
      </c>
      <c r="V80" s="53">
        <f>'[3]Forecast (pcs.)'!V80</f>
        <v>0</v>
      </c>
      <c r="W80" s="53">
        <f>'[3]Forecast (pcs.)'!W80</f>
        <v>0</v>
      </c>
      <c r="X80" s="53">
        <f>'[3]Forecast (pcs.)'!X80</f>
        <v>0</v>
      </c>
      <c r="Y80" s="53">
        <f>'[3]Forecast (pcs.)'!Y80</f>
        <v>0</v>
      </c>
      <c r="Z80" s="53">
        <f>'[3]Forecast (pcs.)'!Z80</f>
        <v>0</v>
      </c>
      <c r="AA80" s="53">
        <f>'[3]Forecast (pcs.)'!AA80</f>
        <v>0</v>
      </c>
      <c r="AB80" s="53">
        <f>'[3]Forecast (pcs.)'!AB80</f>
        <v>0</v>
      </c>
      <c r="AC80" t="str">
        <f t="shared" si="5"/>
        <v>5529IGCE</v>
      </c>
      <c r="AD80" s="6">
        <f t="shared" si="4"/>
        <v>0</v>
      </c>
    </row>
    <row r="81" spans="1:30" ht="15" customHeight="1" x14ac:dyDescent="0.25">
      <c r="A81" s="2">
        <v>5530</v>
      </c>
      <c r="B81" s="15" t="s">
        <v>57</v>
      </c>
      <c r="C81" s="20">
        <v>5530</v>
      </c>
      <c r="D81" s="16" t="s">
        <v>120</v>
      </c>
      <c r="E81" s="17">
        <v>276.47000000000003</v>
      </c>
      <c r="F81" s="18">
        <v>342</v>
      </c>
      <c r="G81" s="21">
        <v>222</v>
      </c>
      <c r="H81" s="6">
        <v>144</v>
      </c>
      <c r="I81" s="22">
        <v>132</v>
      </c>
      <c r="J81" s="22">
        <v>72</v>
      </c>
      <c r="K81" s="22">
        <v>102</v>
      </c>
      <c r="L81" s="22">
        <v>72</v>
      </c>
      <c r="M81" s="22">
        <v>84</v>
      </c>
      <c r="N81" s="22">
        <v>204</v>
      </c>
      <c r="O81" s="22">
        <v>138</v>
      </c>
      <c r="P81" s="22">
        <v>169</v>
      </c>
      <c r="Q81" s="53">
        <f>'[3]Forecast (pcs.)'!Q81</f>
        <v>264</v>
      </c>
      <c r="R81" s="53">
        <f>'[3]Forecast (pcs.)'!R81</f>
        <v>318</v>
      </c>
      <c r="S81" s="53">
        <f>'[3]Forecast (pcs.)'!S81</f>
        <v>342</v>
      </c>
      <c r="T81" s="53">
        <f>'[3]Forecast (pcs.)'!T81</f>
        <v>186</v>
      </c>
      <c r="U81" s="53">
        <f>'[3]Forecast (pcs.)'!U81</f>
        <v>228</v>
      </c>
      <c r="V81" s="53">
        <f>'[3]Forecast (pcs.)'!V81</f>
        <v>144</v>
      </c>
      <c r="W81" s="53">
        <f>'[3]Forecast (pcs.)'!W81</f>
        <v>174</v>
      </c>
      <c r="X81" s="53">
        <f>'[3]Forecast (pcs.)'!X81</f>
        <v>168</v>
      </c>
      <c r="Y81" s="53">
        <f>'[3]Forecast (pcs.)'!Y81</f>
        <v>168</v>
      </c>
      <c r="Z81" s="53">
        <f>'[3]Forecast (pcs.)'!Z81</f>
        <v>174</v>
      </c>
      <c r="AA81" s="53">
        <f>'[3]Forecast (pcs.)'!AA81</f>
        <v>180</v>
      </c>
      <c r="AB81" s="53">
        <f>'[3]Forecast (pcs.)'!AB81</f>
        <v>180</v>
      </c>
      <c r="AC81" t="str">
        <f t="shared" si="5"/>
        <v>5530IGCE</v>
      </c>
      <c r="AD81" s="6">
        <f t="shared" si="4"/>
        <v>210.5</v>
      </c>
    </row>
    <row r="82" spans="1:30" ht="15" customHeight="1" x14ac:dyDescent="0.25">
      <c r="A82" s="2">
        <v>5617</v>
      </c>
      <c r="B82" s="15" t="s">
        <v>57</v>
      </c>
      <c r="C82" s="20">
        <v>5617</v>
      </c>
      <c r="D82" s="16" t="s">
        <v>215</v>
      </c>
      <c r="E82" s="17">
        <v>615.34</v>
      </c>
      <c r="F82" s="18">
        <v>0</v>
      </c>
      <c r="G82" s="21"/>
      <c r="H82" s="6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53">
        <f>'[3]Forecast (pcs.)'!Q82</f>
        <v>0</v>
      </c>
      <c r="R82" s="53">
        <f>'[3]Forecast (pcs.)'!R82</f>
        <v>0</v>
      </c>
      <c r="S82" s="53">
        <f>'[3]Forecast (pcs.)'!S82</f>
        <v>0</v>
      </c>
      <c r="T82" s="53">
        <f>'[3]Forecast (pcs.)'!T82</f>
        <v>0</v>
      </c>
      <c r="U82" s="53">
        <f>'[3]Forecast (pcs.)'!U82</f>
        <v>0</v>
      </c>
      <c r="V82" s="53">
        <f>'[3]Forecast (pcs.)'!V82</f>
        <v>0</v>
      </c>
      <c r="W82" s="53">
        <f>'[3]Forecast (pcs.)'!W82</f>
        <v>0</v>
      </c>
      <c r="X82" s="53">
        <f>'[3]Forecast (pcs.)'!X82</f>
        <v>0</v>
      </c>
      <c r="Y82" s="53">
        <f>'[3]Forecast (pcs.)'!Y82</f>
        <v>0</v>
      </c>
      <c r="Z82" s="53">
        <f>'[3]Forecast (pcs.)'!Z82</f>
        <v>0</v>
      </c>
      <c r="AA82" s="53">
        <f>'[3]Forecast (pcs.)'!AA82</f>
        <v>0</v>
      </c>
      <c r="AB82" s="53">
        <f>'[3]Forecast (pcs.)'!AB82</f>
        <v>0</v>
      </c>
      <c r="AC82" t="str">
        <f t="shared" si="5"/>
        <v>5617IGCE</v>
      </c>
      <c r="AD82" s="6">
        <f t="shared" si="4"/>
        <v>0</v>
      </c>
    </row>
    <row r="83" spans="1:30" ht="15" customHeight="1" x14ac:dyDescent="0.25">
      <c r="A83" s="2">
        <v>5619</v>
      </c>
      <c r="B83" s="15" t="s">
        <v>57</v>
      </c>
      <c r="C83" s="20">
        <v>5619</v>
      </c>
      <c r="D83" s="16" t="s">
        <v>216</v>
      </c>
      <c r="E83" s="17">
        <v>697.21</v>
      </c>
      <c r="F83" s="18">
        <v>18</v>
      </c>
      <c r="G83" s="21">
        <v>12</v>
      </c>
      <c r="H83" s="6">
        <v>0</v>
      </c>
      <c r="I83" s="22">
        <v>18</v>
      </c>
      <c r="J83" s="22">
        <v>12</v>
      </c>
      <c r="K83" s="22">
        <v>6</v>
      </c>
      <c r="L83" s="22">
        <v>12</v>
      </c>
      <c r="M83" s="22">
        <v>6</v>
      </c>
      <c r="N83" s="22">
        <v>36</v>
      </c>
      <c r="O83" s="22">
        <v>30</v>
      </c>
      <c r="P83" s="22">
        <v>12</v>
      </c>
      <c r="Q83" s="53">
        <f>'[3]Forecast (pcs.)'!Q83</f>
        <v>12</v>
      </c>
      <c r="R83" s="53">
        <f>'[3]Forecast (pcs.)'!R83</f>
        <v>18</v>
      </c>
      <c r="S83" s="53">
        <f>'[3]Forecast (pcs.)'!S83</f>
        <v>12</v>
      </c>
      <c r="T83" s="53">
        <f>'[3]Forecast (pcs.)'!T83</f>
        <v>42</v>
      </c>
      <c r="U83" s="53">
        <f>'[3]Forecast (pcs.)'!U83</f>
        <v>78</v>
      </c>
      <c r="V83" s="53">
        <f>'[3]Forecast (pcs.)'!V83</f>
        <v>30</v>
      </c>
      <c r="W83" s="53">
        <f>'[3]Forecast (pcs.)'!W83</f>
        <v>42</v>
      </c>
      <c r="X83" s="53">
        <f>'[3]Forecast (pcs.)'!X83</f>
        <v>30</v>
      </c>
      <c r="Y83" s="53">
        <f>'[3]Forecast (pcs.)'!Y83</f>
        <v>36</v>
      </c>
      <c r="Z83" s="53">
        <f>'[3]Forecast (pcs.)'!Z83</f>
        <v>30</v>
      </c>
      <c r="AA83" s="53">
        <f>'[3]Forecast (pcs.)'!AA83</f>
        <v>30</v>
      </c>
      <c r="AB83" s="53">
        <f>'[3]Forecast (pcs.)'!AB83</f>
        <v>36</v>
      </c>
      <c r="AC83" t="str">
        <f t="shared" si="5"/>
        <v>5619IGCE</v>
      </c>
      <c r="AD83" s="6">
        <f t="shared" si="4"/>
        <v>33</v>
      </c>
    </row>
    <row r="84" spans="1:30" ht="15" customHeight="1" x14ac:dyDescent="0.25">
      <c r="A84" s="2">
        <v>5620</v>
      </c>
      <c r="B84" s="15" t="s">
        <v>57</v>
      </c>
      <c r="C84" s="20">
        <v>5620</v>
      </c>
      <c r="D84" s="16" t="s">
        <v>217</v>
      </c>
      <c r="E84" s="17">
        <v>615.34</v>
      </c>
      <c r="F84" s="18">
        <v>0</v>
      </c>
      <c r="G84" s="21"/>
      <c r="H84" s="6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53">
        <f>'[3]Forecast (pcs.)'!Q84</f>
        <v>0</v>
      </c>
      <c r="R84" s="53">
        <f>'[3]Forecast (pcs.)'!R84</f>
        <v>0</v>
      </c>
      <c r="S84" s="53">
        <f>'[3]Forecast (pcs.)'!S84</f>
        <v>0</v>
      </c>
      <c r="T84" s="53">
        <f>'[3]Forecast (pcs.)'!T84</f>
        <v>0</v>
      </c>
      <c r="U84" s="53">
        <f>'[3]Forecast (pcs.)'!U84</f>
        <v>0</v>
      </c>
      <c r="V84" s="53">
        <f>'[3]Forecast (pcs.)'!V84</f>
        <v>0</v>
      </c>
      <c r="W84" s="53">
        <f>'[3]Forecast (pcs.)'!W84</f>
        <v>0</v>
      </c>
      <c r="X84" s="53">
        <f>'[3]Forecast (pcs.)'!X84</f>
        <v>0</v>
      </c>
      <c r="Y84" s="53">
        <f>'[3]Forecast (pcs.)'!Y84</f>
        <v>0</v>
      </c>
      <c r="Z84" s="53">
        <f>'[3]Forecast (pcs.)'!Z84</f>
        <v>0</v>
      </c>
      <c r="AA84" s="53">
        <f>'[3]Forecast (pcs.)'!AA84</f>
        <v>0</v>
      </c>
      <c r="AB84" s="53">
        <f>'[3]Forecast (pcs.)'!AB84</f>
        <v>0</v>
      </c>
      <c r="AC84" t="str">
        <f t="shared" si="5"/>
        <v>5620IGCE</v>
      </c>
      <c r="AD84" s="6">
        <f t="shared" si="4"/>
        <v>0</v>
      </c>
    </row>
    <row r="85" spans="1:30" ht="15" customHeight="1" x14ac:dyDescent="0.25">
      <c r="A85" s="2">
        <v>5621</v>
      </c>
      <c r="B85" s="15" t="s">
        <v>57</v>
      </c>
      <c r="C85" s="20">
        <v>5621</v>
      </c>
      <c r="D85" s="16" t="s">
        <v>218</v>
      </c>
      <c r="E85" s="17">
        <v>697.21</v>
      </c>
      <c r="F85" s="18">
        <v>18</v>
      </c>
      <c r="G85" s="21">
        <v>12</v>
      </c>
      <c r="H85" s="6">
        <v>0</v>
      </c>
      <c r="I85" s="22">
        <v>18</v>
      </c>
      <c r="J85" s="22">
        <v>12</v>
      </c>
      <c r="K85" s="22">
        <v>6</v>
      </c>
      <c r="L85" s="22">
        <v>12</v>
      </c>
      <c r="M85" s="22">
        <v>6</v>
      </c>
      <c r="N85" s="22">
        <v>36</v>
      </c>
      <c r="O85" s="22">
        <v>30</v>
      </c>
      <c r="P85" s="22">
        <v>12</v>
      </c>
      <c r="Q85" s="53">
        <f>'[3]Forecast (pcs.)'!Q85</f>
        <v>12</v>
      </c>
      <c r="R85" s="53">
        <f>'[3]Forecast (pcs.)'!R85</f>
        <v>18</v>
      </c>
      <c r="S85" s="53">
        <f>'[3]Forecast (pcs.)'!S85</f>
        <v>12</v>
      </c>
      <c r="T85" s="53">
        <f>'[3]Forecast (pcs.)'!T85</f>
        <v>42</v>
      </c>
      <c r="U85" s="53">
        <f>'[3]Forecast (pcs.)'!U85</f>
        <v>78</v>
      </c>
      <c r="V85" s="53">
        <f>'[3]Forecast (pcs.)'!V85</f>
        <v>30</v>
      </c>
      <c r="W85" s="53">
        <f>'[3]Forecast (pcs.)'!W85</f>
        <v>42</v>
      </c>
      <c r="X85" s="53">
        <f>'[3]Forecast (pcs.)'!X85</f>
        <v>30</v>
      </c>
      <c r="Y85" s="53">
        <f>'[3]Forecast (pcs.)'!Y85</f>
        <v>36</v>
      </c>
      <c r="Z85" s="53">
        <f>'[3]Forecast (pcs.)'!Z85</f>
        <v>30</v>
      </c>
      <c r="AA85" s="53">
        <f>'[3]Forecast (pcs.)'!AA85</f>
        <v>30</v>
      </c>
      <c r="AB85" s="53">
        <f>'[3]Forecast (pcs.)'!AB85</f>
        <v>36</v>
      </c>
      <c r="AC85" t="str">
        <f t="shared" si="5"/>
        <v>5621IGCE</v>
      </c>
      <c r="AD85" s="6">
        <f t="shared" si="4"/>
        <v>33</v>
      </c>
    </row>
    <row r="86" spans="1:30" ht="15" customHeight="1" x14ac:dyDescent="0.25">
      <c r="A86" s="2">
        <v>5813</v>
      </c>
      <c r="B86" s="15" t="s">
        <v>57</v>
      </c>
      <c r="C86" s="20">
        <v>5813</v>
      </c>
      <c r="D86" s="16" t="s">
        <v>64</v>
      </c>
      <c r="E86" s="17">
        <v>171.51</v>
      </c>
      <c r="F86" s="18">
        <v>72</v>
      </c>
      <c r="G86" s="21">
        <v>138</v>
      </c>
      <c r="H86" s="6">
        <v>90</v>
      </c>
      <c r="I86" s="22">
        <v>132</v>
      </c>
      <c r="J86" s="22">
        <v>150</v>
      </c>
      <c r="K86" s="22">
        <v>252</v>
      </c>
      <c r="L86" s="22">
        <v>246</v>
      </c>
      <c r="M86" s="22">
        <v>216</v>
      </c>
      <c r="N86" s="22">
        <v>156</v>
      </c>
      <c r="O86" s="22">
        <v>246</v>
      </c>
      <c r="P86" s="22">
        <v>198</v>
      </c>
      <c r="Q86" s="53">
        <f>'[3]Forecast (pcs.)'!Q86</f>
        <v>168</v>
      </c>
      <c r="R86" s="53">
        <f>'[3]Forecast (pcs.)'!R86</f>
        <v>358</v>
      </c>
      <c r="S86" s="53">
        <f>'[3]Forecast (pcs.)'!S86</f>
        <v>309</v>
      </c>
      <c r="T86" s="53">
        <f>'[3]Forecast (pcs.)'!T86</f>
        <v>180</v>
      </c>
      <c r="U86" s="53">
        <f>'[3]Forecast (pcs.)'!U86</f>
        <v>186</v>
      </c>
      <c r="V86" s="53">
        <f>'[3]Forecast (pcs.)'!V86</f>
        <v>138</v>
      </c>
      <c r="W86" s="53">
        <f>'[3]Forecast (pcs.)'!W86</f>
        <v>162</v>
      </c>
      <c r="X86" s="53">
        <f>'[3]Forecast (pcs.)'!X86</f>
        <v>144</v>
      </c>
      <c r="Y86" s="53">
        <f>'[3]Forecast (pcs.)'!Y86</f>
        <v>156</v>
      </c>
      <c r="Z86" s="53">
        <f>'[3]Forecast (pcs.)'!Z86</f>
        <v>126</v>
      </c>
      <c r="AA86" s="53">
        <f>'[3]Forecast (pcs.)'!AA86</f>
        <v>174</v>
      </c>
      <c r="AB86" s="53">
        <f>'[3]Forecast (pcs.)'!AB86</f>
        <v>162</v>
      </c>
      <c r="AC86" t="str">
        <f t="shared" si="5"/>
        <v>5813IGCE</v>
      </c>
      <c r="AD86" s="6">
        <f t="shared" si="4"/>
        <v>188.58333333333334</v>
      </c>
    </row>
    <row r="87" spans="1:30" ht="15" customHeight="1" x14ac:dyDescent="0.25">
      <c r="A87" s="2">
        <v>5814</v>
      </c>
      <c r="B87" s="15" t="s">
        <v>57</v>
      </c>
      <c r="C87" s="20">
        <v>5814</v>
      </c>
      <c r="D87" s="16" t="s">
        <v>65</v>
      </c>
      <c r="E87" s="17">
        <v>169.17</v>
      </c>
      <c r="F87" s="18">
        <v>66</v>
      </c>
      <c r="G87" s="21">
        <v>108</v>
      </c>
      <c r="H87" s="6">
        <v>54</v>
      </c>
      <c r="I87" s="22">
        <v>96</v>
      </c>
      <c r="J87" s="22">
        <v>138</v>
      </c>
      <c r="K87" s="22">
        <v>222</v>
      </c>
      <c r="L87" s="22">
        <v>246</v>
      </c>
      <c r="M87" s="22">
        <v>186</v>
      </c>
      <c r="N87" s="22">
        <v>150</v>
      </c>
      <c r="O87" s="22">
        <v>234</v>
      </c>
      <c r="P87" s="22">
        <v>162</v>
      </c>
      <c r="Q87" s="53">
        <f>'[3]Forecast (pcs.)'!Q87</f>
        <v>150</v>
      </c>
      <c r="R87" s="53">
        <f>'[3]Forecast (pcs.)'!R87</f>
        <v>304</v>
      </c>
      <c r="S87" s="53">
        <f>'[3]Forecast (pcs.)'!S87</f>
        <v>229</v>
      </c>
      <c r="T87" s="53">
        <f>'[3]Forecast (pcs.)'!T87</f>
        <v>126</v>
      </c>
      <c r="U87" s="53">
        <f>'[3]Forecast (pcs.)'!U87</f>
        <v>162</v>
      </c>
      <c r="V87" s="53">
        <f>'[3]Forecast (pcs.)'!V87</f>
        <v>126</v>
      </c>
      <c r="W87" s="53">
        <f>'[3]Forecast (pcs.)'!W87</f>
        <v>156</v>
      </c>
      <c r="X87" s="53">
        <f>'[3]Forecast (pcs.)'!X87</f>
        <v>126</v>
      </c>
      <c r="Y87" s="53">
        <f>'[3]Forecast (pcs.)'!Y87</f>
        <v>144</v>
      </c>
      <c r="Z87" s="53">
        <f>'[3]Forecast (pcs.)'!Z87</f>
        <v>96</v>
      </c>
      <c r="AA87" s="53">
        <f>'[3]Forecast (pcs.)'!AA87</f>
        <v>126</v>
      </c>
      <c r="AB87" s="53">
        <f>'[3]Forecast (pcs.)'!AB87</f>
        <v>132</v>
      </c>
      <c r="AC87" t="str">
        <f t="shared" si="5"/>
        <v>5814IGCE</v>
      </c>
      <c r="AD87" s="6">
        <f t="shared" si="4"/>
        <v>156.41666666666666</v>
      </c>
    </row>
    <row r="88" spans="1:30" ht="15" customHeight="1" x14ac:dyDescent="0.25">
      <c r="A88" s="2">
        <v>5822</v>
      </c>
      <c r="B88" s="15" t="s">
        <v>57</v>
      </c>
      <c r="C88" s="20">
        <v>5822</v>
      </c>
      <c r="D88" s="16" t="s">
        <v>219</v>
      </c>
      <c r="E88" s="17">
        <v>486.06</v>
      </c>
      <c r="F88" s="18">
        <v>318</v>
      </c>
      <c r="G88" s="21">
        <v>246</v>
      </c>
      <c r="H88" s="6">
        <v>312</v>
      </c>
      <c r="I88" s="22">
        <v>480</v>
      </c>
      <c r="J88" s="22">
        <v>282</v>
      </c>
      <c r="K88" s="22">
        <v>447</v>
      </c>
      <c r="L88" s="22">
        <v>430</v>
      </c>
      <c r="M88" s="22">
        <v>575</v>
      </c>
      <c r="N88" s="22">
        <v>456</v>
      </c>
      <c r="O88" s="22">
        <v>816</v>
      </c>
      <c r="P88" s="22">
        <v>420</v>
      </c>
      <c r="Q88" s="53">
        <f>'[3]Forecast (pcs.)'!Q88</f>
        <v>366</v>
      </c>
      <c r="R88" s="53">
        <f>'[3]Forecast (pcs.)'!R88</f>
        <v>468</v>
      </c>
      <c r="S88" s="53">
        <f>'[3]Forecast (pcs.)'!S88</f>
        <v>390</v>
      </c>
      <c r="T88" s="53">
        <f>'[3]Forecast (pcs.)'!T88</f>
        <v>468</v>
      </c>
      <c r="U88" s="53">
        <f>'[3]Forecast (pcs.)'!U88</f>
        <v>744</v>
      </c>
      <c r="V88" s="53">
        <f>'[3]Forecast (pcs.)'!V88</f>
        <v>354</v>
      </c>
      <c r="W88" s="53">
        <f>'[3]Forecast (pcs.)'!W88</f>
        <v>426</v>
      </c>
      <c r="X88" s="53">
        <f>'[3]Forecast (pcs.)'!X88</f>
        <v>402</v>
      </c>
      <c r="Y88" s="53">
        <f>'[3]Forecast (pcs.)'!Y88</f>
        <v>396</v>
      </c>
      <c r="Z88" s="53">
        <f>'[3]Forecast (pcs.)'!Z88</f>
        <v>480</v>
      </c>
      <c r="AA88" s="53">
        <f>'[3]Forecast (pcs.)'!AA88</f>
        <v>408</v>
      </c>
      <c r="AB88" s="53">
        <f>'[3]Forecast (pcs.)'!AB88</f>
        <v>420</v>
      </c>
      <c r="AC88" t="str">
        <f t="shared" si="5"/>
        <v>5822IGCE</v>
      </c>
      <c r="AD88" s="6">
        <f t="shared" si="4"/>
        <v>443.5</v>
      </c>
    </row>
    <row r="89" spans="1:30" ht="15" customHeight="1" x14ac:dyDescent="0.25">
      <c r="A89" s="2">
        <v>5823</v>
      </c>
      <c r="B89" s="15" t="s">
        <v>57</v>
      </c>
      <c r="C89" s="20">
        <v>5823</v>
      </c>
      <c r="D89" s="16" t="s">
        <v>220</v>
      </c>
      <c r="E89" s="17">
        <v>486.06</v>
      </c>
      <c r="F89" s="18">
        <v>168</v>
      </c>
      <c r="G89" s="21">
        <v>250</v>
      </c>
      <c r="H89" s="6">
        <v>314</v>
      </c>
      <c r="I89" s="22">
        <v>481</v>
      </c>
      <c r="J89" s="22">
        <v>283</v>
      </c>
      <c r="K89" s="22">
        <v>452</v>
      </c>
      <c r="L89" s="22">
        <v>428</v>
      </c>
      <c r="M89" s="22">
        <v>572</v>
      </c>
      <c r="N89" s="22">
        <v>460</v>
      </c>
      <c r="O89" s="22">
        <v>816</v>
      </c>
      <c r="P89" s="22">
        <v>420</v>
      </c>
      <c r="Q89" s="53">
        <f>'[3]Forecast (pcs.)'!Q89</f>
        <v>366</v>
      </c>
      <c r="R89" s="53">
        <f>'[3]Forecast (pcs.)'!R89</f>
        <v>468</v>
      </c>
      <c r="S89" s="53">
        <f>'[3]Forecast (pcs.)'!S89</f>
        <v>390</v>
      </c>
      <c r="T89" s="53">
        <f>'[3]Forecast (pcs.)'!T89</f>
        <v>468</v>
      </c>
      <c r="U89" s="53">
        <f>'[3]Forecast (pcs.)'!U89</f>
        <v>744</v>
      </c>
      <c r="V89" s="53">
        <f>'[3]Forecast (pcs.)'!V89</f>
        <v>354</v>
      </c>
      <c r="W89" s="53">
        <f>'[3]Forecast (pcs.)'!W89</f>
        <v>426</v>
      </c>
      <c r="X89" s="53">
        <f>'[3]Forecast (pcs.)'!X89</f>
        <v>402</v>
      </c>
      <c r="Y89" s="53">
        <f>'[3]Forecast (pcs.)'!Y89</f>
        <v>396</v>
      </c>
      <c r="Z89" s="53">
        <f>'[3]Forecast (pcs.)'!Z89</f>
        <v>480</v>
      </c>
      <c r="AA89" s="53">
        <f>'[3]Forecast (pcs.)'!AA89</f>
        <v>408</v>
      </c>
      <c r="AB89" s="53">
        <f>'[3]Forecast (pcs.)'!AB89</f>
        <v>420</v>
      </c>
      <c r="AC89" t="str">
        <f t="shared" si="5"/>
        <v>5823IGCE</v>
      </c>
      <c r="AD89" s="6">
        <f t="shared" si="4"/>
        <v>443.5</v>
      </c>
    </row>
    <row r="90" spans="1:30" ht="15" customHeight="1" x14ac:dyDescent="0.25">
      <c r="A90" s="2">
        <v>5901</v>
      </c>
      <c r="B90" s="15" t="s">
        <v>57</v>
      </c>
      <c r="C90" s="20">
        <v>5901</v>
      </c>
      <c r="D90" s="16" t="s">
        <v>70</v>
      </c>
      <c r="E90" s="17">
        <v>93.44</v>
      </c>
      <c r="F90" s="18">
        <v>684</v>
      </c>
      <c r="G90" s="21">
        <v>768</v>
      </c>
      <c r="H90" s="6">
        <v>432</v>
      </c>
      <c r="I90" s="22">
        <v>396</v>
      </c>
      <c r="J90" s="22">
        <v>420</v>
      </c>
      <c r="K90" s="22">
        <v>816</v>
      </c>
      <c r="L90" s="22">
        <v>612</v>
      </c>
      <c r="M90" s="22">
        <v>674</v>
      </c>
      <c r="N90" s="22">
        <v>732</v>
      </c>
      <c r="O90" s="22">
        <v>672</v>
      </c>
      <c r="P90" s="22">
        <v>348</v>
      </c>
      <c r="Q90" s="53">
        <f>'[3]Forecast (pcs.)'!Q90</f>
        <v>792</v>
      </c>
      <c r="R90" s="53">
        <f>'[3]Forecast (pcs.)'!R90</f>
        <v>744</v>
      </c>
      <c r="S90" s="53">
        <f>'[3]Forecast (pcs.)'!S90</f>
        <v>708</v>
      </c>
      <c r="T90" s="53">
        <f>'[3]Forecast (pcs.)'!T90</f>
        <v>480</v>
      </c>
      <c r="U90" s="53">
        <f>'[3]Forecast (pcs.)'!U90</f>
        <v>180</v>
      </c>
      <c r="V90" s="53">
        <f>'[3]Forecast (pcs.)'!V90</f>
        <v>396</v>
      </c>
      <c r="W90" s="53">
        <f>'[3]Forecast (pcs.)'!W90</f>
        <v>372</v>
      </c>
      <c r="X90" s="53">
        <f>'[3]Forecast (pcs.)'!X90</f>
        <v>984</v>
      </c>
      <c r="Y90" s="53">
        <f>'[3]Forecast (pcs.)'!Y90</f>
        <v>900</v>
      </c>
      <c r="Z90" s="53">
        <f>'[3]Forecast (pcs.)'!Z90</f>
        <v>744</v>
      </c>
      <c r="AA90" s="53">
        <f>'[3]Forecast (pcs.)'!AA90</f>
        <v>696</v>
      </c>
      <c r="AB90" s="53">
        <f>'[3]Forecast (pcs.)'!AB90</f>
        <v>732</v>
      </c>
      <c r="AC90" t="str">
        <f t="shared" si="5"/>
        <v>5901IGCE</v>
      </c>
      <c r="AD90" s="6">
        <f t="shared" si="4"/>
        <v>644</v>
      </c>
    </row>
    <row r="91" spans="1:30" ht="15" customHeight="1" x14ac:dyDescent="0.25">
      <c r="A91" s="2">
        <v>6153</v>
      </c>
      <c r="B91" s="15" t="s">
        <v>57</v>
      </c>
      <c r="C91" s="20">
        <v>6153</v>
      </c>
      <c r="D91" s="16" t="s">
        <v>69</v>
      </c>
      <c r="E91" s="17">
        <v>84.98</v>
      </c>
      <c r="F91" s="18">
        <v>348</v>
      </c>
      <c r="G91" s="21">
        <v>288</v>
      </c>
      <c r="H91" s="6">
        <v>186</v>
      </c>
      <c r="I91" s="22">
        <v>168</v>
      </c>
      <c r="J91" s="22">
        <v>126</v>
      </c>
      <c r="K91" s="22">
        <v>120</v>
      </c>
      <c r="L91" s="22">
        <v>78</v>
      </c>
      <c r="M91" s="22">
        <v>186</v>
      </c>
      <c r="N91" s="22">
        <v>264</v>
      </c>
      <c r="O91" s="22">
        <v>198</v>
      </c>
      <c r="P91" s="22">
        <v>186</v>
      </c>
      <c r="Q91" s="53">
        <f>'[3]Forecast (pcs.)'!Q91</f>
        <v>414</v>
      </c>
      <c r="R91" s="53">
        <f>'[3]Forecast (pcs.)'!R91</f>
        <v>450</v>
      </c>
      <c r="S91" s="53">
        <f>'[3]Forecast (pcs.)'!S91</f>
        <v>522</v>
      </c>
      <c r="T91" s="53">
        <f>'[3]Forecast (pcs.)'!T91</f>
        <v>372</v>
      </c>
      <c r="U91" s="53">
        <f>'[3]Forecast (pcs.)'!U91</f>
        <v>480</v>
      </c>
      <c r="V91" s="53">
        <f>'[3]Forecast (pcs.)'!V91</f>
        <v>318</v>
      </c>
      <c r="W91" s="53">
        <f>'[3]Forecast (pcs.)'!W91</f>
        <v>342</v>
      </c>
      <c r="X91" s="53">
        <f>'[3]Forecast (pcs.)'!X91</f>
        <v>324</v>
      </c>
      <c r="Y91" s="53">
        <f>'[3]Forecast (pcs.)'!Y91</f>
        <v>330</v>
      </c>
      <c r="Z91" s="53">
        <f>'[3]Forecast (pcs.)'!Z91</f>
        <v>324</v>
      </c>
      <c r="AA91" s="53">
        <f>'[3]Forecast (pcs.)'!AA91</f>
        <v>330</v>
      </c>
      <c r="AB91" s="53">
        <f>'[3]Forecast (pcs.)'!AB91</f>
        <v>306</v>
      </c>
      <c r="AC91" t="str">
        <f t="shared" si="5"/>
        <v>6153IGCE</v>
      </c>
      <c r="AD91" s="6">
        <f t="shared" si="4"/>
        <v>376</v>
      </c>
    </row>
    <row r="92" spans="1:30" ht="15" customHeight="1" x14ac:dyDescent="0.25">
      <c r="A92" s="2">
        <v>6328</v>
      </c>
      <c r="B92" s="15" t="s">
        <v>57</v>
      </c>
      <c r="C92" s="20">
        <v>6328</v>
      </c>
      <c r="D92" s="16" t="s">
        <v>182</v>
      </c>
      <c r="E92" s="17">
        <v>308</v>
      </c>
      <c r="F92" s="18">
        <v>54</v>
      </c>
      <c r="G92" s="21">
        <v>132</v>
      </c>
      <c r="H92" s="6">
        <v>120</v>
      </c>
      <c r="I92" s="22">
        <v>54</v>
      </c>
      <c r="J92" s="22">
        <v>78</v>
      </c>
      <c r="K92" s="22">
        <v>132</v>
      </c>
      <c r="L92" s="22">
        <v>66</v>
      </c>
      <c r="M92" s="22">
        <v>138</v>
      </c>
      <c r="N92" s="22">
        <v>42</v>
      </c>
      <c r="O92" s="22">
        <v>186</v>
      </c>
      <c r="P92" s="22">
        <v>72</v>
      </c>
      <c r="Q92" s="53">
        <f>'[3]Forecast (pcs.)'!Q92</f>
        <v>54</v>
      </c>
      <c r="R92" s="53">
        <f>'[3]Forecast (pcs.)'!R92</f>
        <v>114</v>
      </c>
      <c r="S92" s="53">
        <f>'[3]Forecast (pcs.)'!S92</f>
        <v>60</v>
      </c>
      <c r="T92" s="53">
        <f>'[3]Forecast (pcs.)'!T92</f>
        <v>102</v>
      </c>
      <c r="U92" s="53">
        <f>'[3]Forecast (pcs.)'!U92</f>
        <v>78</v>
      </c>
      <c r="V92" s="53">
        <f>'[3]Forecast (pcs.)'!V92</f>
        <v>78</v>
      </c>
      <c r="W92" s="53">
        <f>'[3]Forecast (pcs.)'!W92</f>
        <v>84</v>
      </c>
      <c r="X92" s="53">
        <f>'[3]Forecast (pcs.)'!X92</f>
        <v>60</v>
      </c>
      <c r="Y92" s="53">
        <f>'[3]Forecast (pcs.)'!Y92</f>
        <v>78</v>
      </c>
      <c r="Z92" s="53">
        <f>'[3]Forecast (pcs.)'!Z92</f>
        <v>48</v>
      </c>
      <c r="AA92" s="53">
        <f>'[3]Forecast (pcs.)'!AA92</f>
        <v>90</v>
      </c>
      <c r="AB92" s="53">
        <f>'[3]Forecast (pcs.)'!AB92</f>
        <v>78</v>
      </c>
      <c r="AC92" t="str">
        <f t="shared" si="5"/>
        <v>6328IGCE</v>
      </c>
      <c r="AD92" s="6">
        <f t="shared" ref="AD92:AD123" si="6">AVERAGE(Q92:AB92)</f>
        <v>77</v>
      </c>
    </row>
    <row r="93" spans="1:30" ht="15" customHeight="1" x14ac:dyDescent="0.25">
      <c r="A93" s="2">
        <v>6330</v>
      </c>
      <c r="B93" s="15" t="s">
        <v>57</v>
      </c>
      <c r="C93" s="20">
        <v>6330</v>
      </c>
      <c r="D93" s="16" t="s">
        <v>204</v>
      </c>
      <c r="E93" s="17">
        <v>251.78</v>
      </c>
      <c r="F93" s="18">
        <v>0</v>
      </c>
      <c r="G93" s="21">
        <v>24</v>
      </c>
      <c r="H93" s="6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53">
        <f>'[3]Forecast (pcs.)'!Q93</f>
        <v>0</v>
      </c>
      <c r="R93" s="53">
        <f>'[3]Forecast (pcs.)'!R93</f>
        <v>0</v>
      </c>
      <c r="S93" s="53">
        <f>'[3]Forecast (pcs.)'!S93</f>
        <v>0</v>
      </c>
      <c r="T93" s="53">
        <f>'[3]Forecast (pcs.)'!T93</f>
        <v>0</v>
      </c>
      <c r="U93" s="53">
        <f>'[3]Forecast (pcs.)'!U93</f>
        <v>0</v>
      </c>
      <c r="V93" s="53">
        <f>'[3]Forecast (pcs.)'!V93</f>
        <v>0</v>
      </c>
      <c r="W93" s="53">
        <f>'[3]Forecast (pcs.)'!W93</f>
        <v>0</v>
      </c>
      <c r="X93" s="53">
        <f>'[3]Forecast (pcs.)'!X93</f>
        <v>0</v>
      </c>
      <c r="Y93" s="53">
        <f>'[3]Forecast (pcs.)'!Y93</f>
        <v>0</v>
      </c>
      <c r="Z93" s="53">
        <f>'[3]Forecast (pcs.)'!Z93</f>
        <v>0</v>
      </c>
      <c r="AA93" s="53">
        <f>'[3]Forecast (pcs.)'!AA93</f>
        <v>0</v>
      </c>
      <c r="AB93" s="53">
        <f>'[3]Forecast (pcs.)'!AB93</f>
        <v>0</v>
      </c>
      <c r="AC93" t="str">
        <f t="shared" si="5"/>
        <v>6330IGCE</v>
      </c>
      <c r="AD93" s="6">
        <f t="shared" si="6"/>
        <v>0</v>
      </c>
    </row>
    <row r="94" spans="1:30" ht="15" customHeight="1" x14ac:dyDescent="0.25">
      <c r="A94" s="2">
        <v>6331</v>
      </c>
      <c r="B94" s="15" t="s">
        <v>57</v>
      </c>
      <c r="C94" s="20">
        <v>6331</v>
      </c>
      <c r="D94" s="16" t="s">
        <v>205</v>
      </c>
      <c r="E94" s="17">
        <v>251.78</v>
      </c>
      <c r="F94" s="18">
        <v>0</v>
      </c>
      <c r="G94" s="21">
        <v>96</v>
      </c>
      <c r="H94" s="6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53">
        <f>'[3]Forecast (pcs.)'!Q94</f>
        <v>0</v>
      </c>
      <c r="R94" s="53">
        <f>'[3]Forecast (pcs.)'!R94</f>
        <v>0</v>
      </c>
      <c r="S94" s="53">
        <f>'[3]Forecast (pcs.)'!S94</f>
        <v>0</v>
      </c>
      <c r="T94" s="53">
        <f>'[3]Forecast (pcs.)'!T94</f>
        <v>0</v>
      </c>
      <c r="U94" s="53">
        <f>'[3]Forecast (pcs.)'!U94</f>
        <v>0</v>
      </c>
      <c r="V94" s="53">
        <f>'[3]Forecast (pcs.)'!V94</f>
        <v>0</v>
      </c>
      <c r="W94" s="53">
        <f>'[3]Forecast (pcs.)'!W94</f>
        <v>0</v>
      </c>
      <c r="X94" s="53">
        <f>'[3]Forecast (pcs.)'!X94</f>
        <v>0</v>
      </c>
      <c r="Y94" s="53">
        <f>'[3]Forecast (pcs.)'!Y94</f>
        <v>0</v>
      </c>
      <c r="Z94" s="53">
        <f>'[3]Forecast (pcs.)'!Z94</f>
        <v>0</v>
      </c>
      <c r="AA94" s="53">
        <f>'[3]Forecast (pcs.)'!AA94</f>
        <v>0</v>
      </c>
      <c r="AB94" s="53">
        <f>'[3]Forecast (pcs.)'!AB94</f>
        <v>0</v>
      </c>
      <c r="AC94" t="str">
        <f t="shared" si="5"/>
        <v>6331IGCE</v>
      </c>
      <c r="AD94" s="6">
        <f t="shared" si="6"/>
        <v>0</v>
      </c>
    </row>
    <row r="95" spans="1:30" ht="15" customHeight="1" x14ac:dyDescent="0.25">
      <c r="A95" s="2">
        <v>6332</v>
      </c>
      <c r="B95" s="15" t="s">
        <v>57</v>
      </c>
      <c r="C95" s="20">
        <v>6332</v>
      </c>
      <c r="D95" s="16" t="s">
        <v>206</v>
      </c>
      <c r="E95" s="17">
        <v>285.45</v>
      </c>
      <c r="F95" s="18">
        <v>12</v>
      </c>
      <c r="G95" s="21">
        <v>24</v>
      </c>
      <c r="H95" s="6">
        <v>84</v>
      </c>
      <c r="I95" s="22">
        <v>96</v>
      </c>
      <c r="J95" s="22">
        <v>12</v>
      </c>
      <c r="K95" s="22">
        <v>36</v>
      </c>
      <c r="L95" s="22">
        <v>0</v>
      </c>
      <c r="M95" s="22">
        <v>24</v>
      </c>
      <c r="N95" s="22">
        <v>24</v>
      </c>
      <c r="O95" s="22">
        <v>24</v>
      </c>
      <c r="P95" s="22">
        <v>24</v>
      </c>
      <c r="Q95" s="53">
        <f>'[3]Forecast (pcs.)'!Q95</f>
        <v>132</v>
      </c>
      <c r="R95" s="53">
        <f>'[3]Forecast (pcs.)'!R95</f>
        <v>48</v>
      </c>
      <c r="S95" s="53">
        <f>'[3]Forecast (pcs.)'!S95</f>
        <v>24</v>
      </c>
      <c r="T95" s="53">
        <f>'[3]Forecast (pcs.)'!T95</f>
        <v>12</v>
      </c>
      <c r="U95" s="53">
        <f>'[3]Forecast (pcs.)'!U95</f>
        <v>48</v>
      </c>
      <c r="V95" s="53">
        <f>'[3]Forecast (pcs.)'!V95</f>
        <v>12</v>
      </c>
      <c r="W95" s="53">
        <f>'[3]Forecast (pcs.)'!W95</f>
        <v>36</v>
      </c>
      <c r="X95" s="53">
        <f>'[3]Forecast (pcs.)'!X95</f>
        <v>12</v>
      </c>
      <c r="Y95" s="53">
        <f>'[3]Forecast (pcs.)'!Y95</f>
        <v>24</v>
      </c>
      <c r="Z95" s="53">
        <f>'[3]Forecast (pcs.)'!Z95</f>
        <v>12</v>
      </c>
      <c r="AA95" s="53">
        <f>'[3]Forecast (pcs.)'!AA95</f>
        <v>24</v>
      </c>
      <c r="AB95" s="53">
        <f>'[3]Forecast (pcs.)'!AB95</f>
        <v>24</v>
      </c>
      <c r="AC95" t="str">
        <f t="shared" si="5"/>
        <v>6332IGCE</v>
      </c>
      <c r="AD95" s="6">
        <f t="shared" si="6"/>
        <v>34</v>
      </c>
    </row>
    <row r="96" spans="1:30" ht="15" customHeight="1" x14ac:dyDescent="0.25">
      <c r="A96" s="2">
        <v>6333</v>
      </c>
      <c r="B96" s="15" t="s">
        <v>57</v>
      </c>
      <c r="C96" s="20">
        <v>6333</v>
      </c>
      <c r="D96" s="16" t="s">
        <v>207</v>
      </c>
      <c r="E96" s="17">
        <v>285.45</v>
      </c>
      <c r="F96" s="18">
        <v>36</v>
      </c>
      <c r="G96" s="21">
        <v>24</v>
      </c>
      <c r="H96" s="6">
        <v>48</v>
      </c>
      <c r="I96" s="22">
        <v>24</v>
      </c>
      <c r="J96" s="22">
        <v>36</v>
      </c>
      <c r="K96" s="22">
        <v>48</v>
      </c>
      <c r="L96" s="22">
        <v>96</v>
      </c>
      <c r="M96" s="22">
        <v>24</v>
      </c>
      <c r="N96" s="22">
        <v>0</v>
      </c>
      <c r="O96" s="22">
        <v>264</v>
      </c>
      <c r="P96" s="22">
        <v>60</v>
      </c>
      <c r="Q96" s="53">
        <f>'[3]Forecast (pcs.)'!Q96</f>
        <v>24</v>
      </c>
      <c r="R96" s="53">
        <f>'[3]Forecast (pcs.)'!R96</f>
        <v>108</v>
      </c>
      <c r="S96" s="53">
        <f>'[3]Forecast (pcs.)'!S96</f>
        <v>26</v>
      </c>
      <c r="T96" s="53">
        <f>'[3]Forecast (pcs.)'!T96</f>
        <v>48</v>
      </c>
      <c r="U96" s="53">
        <f>'[3]Forecast (pcs.)'!U96</f>
        <v>72</v>
      </c>
      <c r="V96" s="53">
        <f>'[3]Forecast (pcs.)'!V96</f>
        <v>24</v>
      </c>
      <c r="W96" s="53">
        <f>'[3]Forecast (pcs.)'!W96</f>
        <v>48</v>
      </c>
      <c r="X96" s="53">
        <f>'[3]Forecast (pcs.)'!X96</f>
        <v>36</v>
      </c>
      <c r="Y96" s="53">
        <f>'[3]Forecast (pcs.)'!Y96</f>
        <v>48</v>
      </c>
      <c r="Z96" s="53">
        <f>'[3]Forecast (pcs.)'!Z96</f>
        <v>60</v>
      </c>
      <c r="AA96" s="53">
        <f>'[3]Forecast (pcs.)'!AA96</f>
        <v>84</v>
      </c>
      <c r="AB96" s="53">
        <f>'[3]Forecast (pcs.)'!AB96</f>
        <v>60</v>
      </c>
      <c r="AC96" t="str">
        <f t="shared" si="5"/>
        <v>6333IGCE</v>
      </c>
      <c r="AD96" s="6">
        <f t="shared" si="6"/>
        <v>53.166666666666664</v>
      </c>
    </row>
    <row r="97" spans="1:30" ht="15" customHeight="1" x14ac:dyDescent="0.25">
      <c r="A97" s="2">
        <v>6334</v>
      </c>
      <c r="B97" s="15" t="s">
        <v>57</v>
      </c>
      <c r="C97" s="20">
        <v>6334</v>
      </c>
      <c r="D97" s="16" t="s">
        <v>208</v>
      </c>
      <c r="E97" s="17">
        <v>156.21</v>
      </c>
      <c r="F97" s="18">
        <v>0</v>
      </c>
      <c r="G97" s="21">
        <v>0</v>
      </c>
      <c r="H97" s="6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53">
        <f>'[3]Forecast (pcs.)'!Q97</f>
        <v>0</v>
      </c>
      <c r="R97" s="53">
        <f>'[3]Forecast (pcs.)'!R97</f>
        <v>0</v>
      </c>
      <c r="S97" s="53">
        <f>'[3]Forecast (pcs.)'!S97</f>
        <v>0</v>
      </c>
      <c r="T97" s="53">
        <f>'[3]Forecast (pcs.)'!T97</f>
        <v>0</v>
      </c>
      <c r="U97" s="53">
        <f>'[3]Forecast (pcs.)'!U97</f>
        <v>0</v>
      </c>
      <c r="V97" s="53">
        <f>'[3]Forecast (pcs.)'!V97</f>
        <v>0</v>
      </c>
      <c r="W97" s="53">
        <f>'[3]Forecast (pcs.)'!W97</f>
        <v>0</v>
      </c>
      <c r="X97" s="53">
        <f>'[3]Forecast (pcs.)'!X97</f>
        <v>0</v>
      </c>
      <c r="Y97" s="53">
        <f>'[3]Forecast (pcs.)'!Y97</f>
        <v>0</v>
      </c>
      <c r="Z97" s="53">
        <f>'[3]Forecast (pcs.)'!Z97</f>
        <v>0</v>
      </c>
      <c r="AA97" s="53">
        <f>'[3]Forecast (pcs.)'!AA97</f>
        <v>0</v>
      </c>
      <c r="AB97" s="53">
        <f>'[3]Forecast (pcs.)'!AB97</f>
        <v>0</v>
      </c>
      <c r="AC97" t="str">
        <f t="shared" si="5"/>
        <v>6334IGCE</v>
      </c>
      <c r="AD97" s="6">
        <f t="shared" si="6"/>
        <v>0</v>
      </c>
    </row>
    <row r="98" spans="1:30" ht="15" customHeight="1" x14ac:dyDescent="0.25">
      <c r="A98" s="2">
        <v>6335</v>
      </c>
      <c r="B98" s="15" t="s">
        <v>57</v>
      </c>
      <c r="C98" s="20">
        <v>6335</v>
      </c>
      <c r="D98" s="16" t="s">
        <v>209</v>
      </c>
      <c r="E98" s="17">
        <v>230.07</v>
      </c>
      <c r="F98" s="18">
        <v>264</v>
      </c>
      <c r="G98" s="21">
        <v>257</v>
      </c>
      <c r="H98" s="6">
        <v>206</v>
      </c>
      <c r="I98" s="22">
        <v>374</v>
      </c>
      <c r="J98" s="22">
        <v>408</v>
      </c>
      <c r="K98" s="22">
        <v>312</v>
      </c>
      <c r="L98" s="22">
        <v>96</v>
      </c>
      <c r="M98" s="22">
        <v>540</v>
      </c>
      <c r="N98" s="22">
        <v>336</v>
      </c>
      <c r="O98" s="22">
        <v>588</v>
      </c>
      <c r="P98" s="22">
        <v>432</v>
      </c>
      <c r="Q98" s="53">
        <f>'[3]Forecast (pcs.)'!Q98</f>
        <v>156</v>
      </c>
      <c r="R98" s="53">
        <f>'[3]Forecast (pcs.)'!R98</f>
        <v>384</v>
      </c>
      <c r="S98" s="53">
        <f>'[3]Forecast (pcs.)'!S98</f>
        <v>264</v>
      </c>
      <c r="T98" s="53">
        <f>'[3]Forecast (pcs.)'!T98</f>
        <v>348</v>
      </c>
      <c r="U98" s="53">
        <f>'[3]Forecast (pcs.)'!U98</f>
        <v>588</v>
      </c>
      <c r="V98" s="53">
        <f>'[3]Forecast (pcs.)'!V98</f>
        <v>312</v>
      </c>
      <c r="W98" s="53">
        <f>'[3]Forecast (pcs.)'!W98</f>
        <v>372</v>
      </c>
      <c r="X98" s="53">
        <f>'[3]Forecast (pcs.)'!X98</f>
        <v>312</v>
      </c>
      <c r="Y98" s="53">
        <f>'[3]Forecast (pcs.)'!Y98</f>
        <v>348</v>
      </c>
      <c r="Z98" s="53">
        <f>'[3]Forecast (pcs.)'!Z98</f>
        <v>276</v>
      </c>
      <c r="AA98" s="53">
        <f>'[3]Forecast (pcs.)'!AA98</f>
        <v>336</v>
      </c>
      <c r="AB98" s="53">
        <f>'[3]Forecast (pcs.)'!AB98</f>
        <v>336</v>
      </c>
      <c r="AC98" t="str">
        <f t="shared" ref="AC98:AC129" si="7">C98&amp;B98</f>
        <v>6335IGCE</v>
      </c>
      <c r="AD98" s="6">
        <f t="shared" si="6"/>
        <v>336</v>
      </c>
    </row>
    <row r="99" spans="1:30" ht="15" customHeight="1" x14ac:dyDescent="0.25">
      <c r="A99" s="2">
        <v>6336</v>
      </c>
      <c r="B99" s="15" t="s">
        <v>57</v>
      </c>
      <c r="C99" s="20">
        <v>6336</v>
      </c>
      <c r="D99" s="16" t="s">
        <v>203</v>
      </c>
      <c r="E99" s="17">
        <v>176.41</v>
      </c>
      <c r="F99" s="18">
        <v>30</v>
      </c>
      <c r="G99" s="21">
        <v>102</v>
      </c>
      <c r="H99" s="6">
        <v>18</v>
      </c>
      <c r="I99" s="22">
        <v>86</v>
      </c>
      <c r="J99" s="22">
        <v>170</v>
      </c>
      <c r="K99" s="22">
        <v>208</v>
      </c>
      <c r="L99" s="22">
        <v>200</v>
      </c>
      <c r="M99" s="22">
        <v>151</v>
      </c>
      <c r="N99" s="22">
        <v>90</v>
      </c>
      <c r="O99" s="22">
        <v>204</v>
      </c>
      <c r="P99" s="22">
        <v>90</v>
      </c>
      <c r="Q99" s="53">
        <f>'[3]Forecast (pcs.)'!Q99</f>
        <v>96</v>
      </c>
      <c r="R99" s="53">
        <f>'[3]Forecast (pcs.)'!R99</f>
        <v>138</v>
      </c>
      <c r="S99" s="53">
        <f>'[3]Forecast (pcs.)'!S99</f>
        <v>152</v>
      </c>
      <c r="T99" s="53">
        <f>'[3]Forecast (pcs.)'!T99</f>
        <v>84</v>
      </c>
      <c r="U99" s="53">
        <f>'[3]Forecast (pcs.)'!U99</f>
        <v>162</v>
      </c>
      <c r="V99" s="53">
        <f>'[3]Forecast (pcs.)'!V99</f>
        <v>90</v>
      </c>
      <c r="W99" s="53">
        <f>'[3]Forecast (pcs.)'!W99</f>
        <v>114</v>
      </c>
      <c r="X99" s="53">
        <f>'[3]Forecast (pcs.)'!X99</f>
        <v>78</v>
      </c>
      <c r="Y99" s="53">
        <f>'[3]Forecast (pcs.)'!Y99</f>
        <v>102</v>
      </c>
      <c r="Z99" s="53">
        <f>'[3]Forecast (pcs.)'!Z99</f>
        <v>192</v>
      </c>
      <c r="AA99" s="53">
        <f>'[3]Forecast (pcs.)'!AA99</f>
        <v>72</v>
      </c>
      <c r="AB99" s="53">
        <f>'[3]Forecast (pcs.)'!AB99</f>
        <v>96</v>
      </c>
      <c r="AC99" t="str">
        <f t="shared" si="7"/>
        <v>6336IGCE</v>
      </c>
      <c r="AD99" s="6">
        <f t="shared" si="6"/>
        <v>114.66666666666667</v>
      </c>
    </row>
    <row r="100" spans="1:30" ht="15" customHeight="1" x14ac:dyDescent="0.25">
      <c r="A100" s="2">
        <v>6337</v>
      </c>
      <c r="B100" s="15" t="s">
        <v>57</v>
      </c>
      <c r="C100" s="20">
        <v>6337</v>
      </c>
      <c r="D100" s="16" t="s">
        <v>178</v>
      </c>
      <c r="E100" s="17">
        <v>323.81</v>
      </c>
      <c r="F100" s="18">
        <v>96</v>
      </c>
      <c r="G100" s="21">
        <v>114</v>
      </c>
      <c r="H100" s="6">
        <v>54</v>
      </c>
      <c r="I100" s="22">
        <v>180</v>
      </c>
      <c r="J100" s="22">
        <v>126</v>
      </c>
      <c r="K100" s="22">
        <v>192</v>
      </c>
      <c r="L100" s="22">
        <v>210</v>
      </c>
      <c r="M100" s="22">
        <v>265</v>
      </c>
      <c r="N100" s="22">
        <v>240</v>
      </c>
      <c r="O100" s="22">
        <v>348</v>
      </c>
      <c r="P100" s="22">
        <v>144</v>
      </c>
      <c r="Q100" s="53">
        <f>'[3]Forecast (pcs.)'!Q100</f>
        <v>138</v>
      </c>
      <c r="R100" s="53">
        <f>'[3]Forecast (pcs.)'!R100</f>
        <v>102</v>
      </c>
      <c r="S100" s="53">
        <f>'[3]Forecast (pcs.)'!S100</f>
        <v>90</v>
      </c>
      <c r="T100" s="53">
        <f>'[3]Forecast (pcs.)'!T100</f>
        <v>66</v>
      </c>
      <c r="U100" s="53">
        <f>'[3]Forecast (pcs.)'!U100</f>
        <v>180</v>
      </c>
      <c r="V100" s="53">
        <f>'[3]Forecast (pcs.)'!V100</f>
        <v>66</v>
      </c>
      <c r="W100" s="53">
        <f>'[3]Forecast (pcs.)'!W100</f>
        <v>78</v>
      </c>
      <c r="X100" s="53">
        <f>'[3]Forecast (pcs.)'!X100</f>
        <v>90</v>
      </c>
      <c r="Y100" s="53">
        <f>'[3]Forecast (pcs.)'!Y100</f>
        <v>72</v>
      </c>
      <c r="Z100" s="53">
        <f>'[3]Forecast (pcs.)'!Z100</f>
        <v>72</v>
      </c>
      <c r="AA100" s="53">
        <f>'[3]Forecast (pcs.)'!AA100</f>
        <v>96</v>
      </c>
      <c r="AB100" s="53">
        <f>'[3]Forecast (pcs.)'!AB100</f>
        <v>96</v>
      </c>
      <c r="AC100" t="str">
        <f t="shared" si="7"/>
        <v>6337IGCE</v>
      </c>
      <c r="AD100" s="6">
        <f t="shared" si="6"/>
        <v>95.5</v>
      </c>
    </row>
    <row r="101" spans="1:30" ht="15" customHeight="1" x14ac:dyDescent="0.25">
      <c r="A101" s="2">
        <v>6338</v>
      </c>
      <c r="B101" s="15" t="s">
        <v>57</v>
      </c>
      <c r="C101" s="20">
        <v>6338</v>
      </c>
      <c r="D101" s="16" t="s">
        <v>179</v>
      </c>
      <c r="E101" s="17">
        <v>247.03</v>
      </c>
      <c r="F101" s="18">
        <v>0</v>
      </c>
      <c r="G101" s="21">
        <v>12</v>
      </c>
      <c r="H101" s="6">
        <v>0</v>
      </c>
      <c r="I101" s="22">
        <v>6</v>
      </c>
      <c r="J101" s="22">
        <v>12</v>
      </c>
      <c r="K101" s="22">
        <v>6</v>
      </c>
      <c r="L101" s="22">
        <v>0</v>
      </c>
      <c r="M101" s="22">
        <v>6</v>
      </c>
      <c r="N101" s="22">
        <v>36</v>
      </c>
      <c r="O101" s="22">
        <v>36</v>
      </c>
      <c r="P101" s="22">
        <v>24</v>
      </c>
      <c r="Q101" s="53">
        <f>'[3]Forecast (pcs.)'!Q101</f>
        <v>0</v>
      </c>
      <c r="R101" s="53">
        <f>'[3]Forecast (pcs.)'!R101</f>
        <v>6</v>
      </c>
      <c r="S101" s="53">
        <f>'[3]Forecast (pcs.)'!S101</f>
        <v>0</v>
      </c>
      <c r="T101" s="53">
        <f>'[3]Forecast (pcs.)'!T101</f>
        <v>6</v>
      </c>
      <c r="U101" s="53">
        <f>'[3]Forecast (pcs.)'!U101</f>
        <v>18</v>
      </c>
      <c r="V101" s="53">
        <f>'[3]Forecast (pcs.)'!V101</f>
        <v>6</v>
      </c>
      <c r="W101" s="53">
        <f>'[3]Forecast (pcs.)'!W101</f>
        <v>12</v>
      </c>
      <c r="X101" s="53">
        <f>'[3]Forecast (pcs.)'!X101</f>
        <v>18</v>
      </c>
      <c r="Y101" s="53">
        <f>'[3]Forecast (pcs.)'!Y101</f>
        <v>12</v>
      </c>
      <c r="Z101" s="53">
        <f>'[3]Forecast (pcs.)'!Z101</f>
        <v>6</v>
      </c>
      <c r="AA101" s="53">
        <f>'[3]Forecast (pcs.)'!AA101</f>
        <v>12</v>
      </c>
      <c r="AB101" s="53">
        <f>'[3]Forecast (pcs.)'!AB101</f>
        <v>18</v>
      </c>
      <c r="AC101" t="str">
        <f t="shared" si="7"/>
        <v>6338IGCE</v>
      </c>
      <c r="AD101" s="6">
        <f t="shared" si="6"/>
        <v>9.5</v>
      </c>
    </row>
    <row r="102" spans="1:30" ht="15" customHeight="1" x14ac:dyDescent="0.25">
      <c r="A102" s="2">
        <v>6417</v>
      </c>
      <c r="B102" s="15" t="s">
        <v>57</v>
      </c>
      <c r="C102" s="20">
        <v>6417</v>
      </c>
      <c r="D102" s="16" t="s">
        <v>180</v>
      </c>
      <c r="E102" s="17">
        <v>465.55</v>
      </c>
      <c r="F102" s="18">
        <v>0</v>
      </c>
      <c r="G102" s="21">
        <v>12</v>
      </c>
      <c r="H102" s="6">
        <v>24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53">
        <f>'[3]Forecast (pcs.)'!Q102</f>
        <v>0</v>
      </c>
      <c r="R102" s="53">
        <f>'[3]Forecast (pcs.)'!R102</f>
        <v>0</v>
      </c>
      <c r="S102" s="53">
        <f>'[3]Forecast (pcs.)'!S102</f>
        <v>0</v>
      </c>
      <c r="T102" s="53">
        <f>'[3]Forecast (pcs.)'!T102</f>
        <v>0</v>
      </c>
      <c r="U102" s="53">
        <f>'[3]Forecast (pcs.)'!U102</f>
        <v>0</v>
      </c>
      <c r="V102" s="53">
        <f>'[3]Forecast (pcs.)'!V102</f>
        <v>0</v>
      </c>
      <c r="W102" s="53">
        <f>'[3]Forecast (pcs.)'!W102</f>
        <v>0</v>
      </c>
      <c r="X102" s="53">
        <f>'[3]Forecast (pcs.)'!X102</f>
        <v>0</v>
      </c>
      <c r="Y102" s="53">
        <f>'[3]Forecast (pcs.)'!Y102</f>
        <v>0</v>
      </c>
      <c r="Z102" s="53">
        <f>'[3]Forecast (pcs.)'!Z102</f>
        <v>0</v>
      </c>
      <c r="AA102" s="53">
        <f>'[3]Forecast (pcs.)'!AA102</f>
        <v>0</v>
      </c>
      <c r="AB102" s="53">
        <f>'[3]Forecast (pcs.)'!AB102</f>
        <v>0</v>
      </c>
      <c r="AC102" t="str">
        <f t="shared" si="7"/>
        <v>6417IGCE</v>
      </c>
      <c r="AD102" s="6">
        <f t="shared" si="6"/>
        <v>0</v>
      </c>
    </row>
    <row r="103" spans="1:30" ht="15" customHeight="1" x14ac:dyDescent="0.25">
      <c r="A103" s="2">
        <v>6428</v>
      </c>
      <c r="B103" s="15" t="s">
        <v>57</v>
      </c>
      <c r="C103" s="20">
        <v>6428</v>
      </c>
      <c r="D103" s="16" t="s">
        <v>181</v>
      </c>
      <c r="E103" s="17">
        <v>274.7</v>
      </c>
      <c r="F103" s="18">
        <v>0</v>
      </c>
      <c r="G103" s="21">
        <v>12</v>
      </c>
      <c r="H103" s="6">
        <v>0</v>
      </c>
      <c r="I103" s="22">
        <v>0</v>
      </c>
      <c r="J103" s="22">
        <v>6</v>
      </c>
      <c r="K103" s="22">
        <v>6</v>
      </c>
      <c r="L103" s="22">
        <v>0</v>
      </c>
      <c r="M103" s="22">
        <v>0</v>
      </c>
      <c r="N103" s="22">
        <v>0</v>
      </c>
      <c r="O103" s="22">
        <v>6</v>
      </c>
      <c r="P103" s="22">
        <v>0</v>
      </c>
      <c r="Q103" s="53">
        <f>'[3]Forecast (pcs.)'!Q103</f>
        <v>0</v>
      </c>
      <c r="R103" s="53">
        <f>'[3]Forecast (pcs.)'!R103</f>
        <v>6</v>
      </c>
      <c r="S103" s="53">
        <f>'[3]Forecast (pcs.)'!S103</f>
        <v>18</v>
      </c>
      <c r="T103" s="53">
        <f>'[3]Forecast (pcs.)'!T103</f>
        <v>0</v>
      </c>
      <c r="U103" s="53">
        <f>'[3]Forecast (pcs.)'!U103</f>
        <v>0</v>
      </c>
      <c r="V103" s="53">
        <f>'[3]Forecast (pcs.)'!V103</f>
        <v>6</v>
      </c>
      <c r="W103" s="53">
        <f>'[3]Forecast (pcs.)'!W103</f>
        <v>0</v>
      </c>
      <c r="X103" s="53">
        <f>'[3]Forecast (pcs.)'!X103</f>
        <v>6</v>
      </c>
      <c r="Y103" s="53">
        <f>'[3]Forecast (pcs.)'!Y103</f>
        <v>0</v>
      </c>
      <c r="Z103" s="53">
        <f>'[3]Forecast (pcs.)'!Z103</f>
        <v>0</v>
      </c>
      <c r="AA103" s="53">
        <f>'[3]Forecast (pcs.)'!AA103</f>
        <v>6</v>
      </c>
      <c r="AB103" s="53">
        <f>'[3]Forecast (pcs.)'!AB103</f>
        <v>0</v>
      </c>
      <c r="AC103" t="str">
        <f t="shared" si="7"/>
        <v>6428IGCE</v>
      </c>
      <c r="AD103" s="6">
        <f t="shared" si="6"/>
        <v>3.5</v>
      </c>
    </row>
    <row r="104" spans="1:30" ht="15" customHeight="1" x14ac:dyDescent="0.25">
      <c r="A104" s="2">
        <v>5202</v>
      </c>
      <c r="B104" s="15" t="s">
        <v>26</v>
      </c>
      <c r="C104" s="20">
        <v>5202</v>
      </c>
      <c r="D104" s="16" t="s">
        <v>68</v>
      </c>
      <c r="E104" s="17">
        <v>107.3</v>
      </c>
      <c r="F104" s="18">
        <v>635</v>
      </c>
      <c r="G104" s="21">
        <v>444</v>
      </c>
      <c r="H104" s="6">
        <v>168</v>
      </c>
      <c r="I104" s="22">
        <v>252</v>
      </c>
      <c r="J104" s="22">
        <v>228</v>
      </c>
      <c r="K104" s="22">
        <v>278</v>
      </c>
      <c r="L104" s="22">
        <v>252</v>
      </c>
      <c r="M104" s="22">
        <v>217</v>
      </c>
      <c r="N104" s="22">
        <v>240</v>
      </c>
      <c r="O104" s="22">
        <v>337</v>
      </c>
      <c r="P104" s="22">
        <v>312</v>
      </c>
      <c r="Q104" s="53">
        <f>'[3]Forecast (pcs.)'!Q104</f>
        <v>450</v>
      </c>
      <c r="R104" s="53">
        <f>'[3]Forecast (pcs.)'!R104</f>
        <v>342</v>
      </c>
      <c r="S104" s="53">
        <f>'[3]Forecast (pcs.)'!S104</f>
        <v>397</v>
      </c>
      <c r="T104" s="53">
        <f>'[3]Forecast (pcs.)'!T104</f>
        <v>252</v>
      </c>
      <c r="U104" s="53">
        <f>'[3]Forecast (pcs.)'!U104</f>
        <v>408</v>
      </c>
      <c r="V104" s="53">
        <f>'[3]Forecast (pcs.)'!V104</f>
        <v>228</v>
      </c>
      <c r="W104" s="53">
        <f>'[3]Forecast (pcs.)'!W104</f>
        <v>354</v>
      </c>
      <c r="X104" s="53">
        <f>'[3]Forecast (pcs.)'!X104</f>
        <v>348</v>
      </c>
      <c r="Y104" s="53">
        <f>'[3]Forecast (pcs.)'!Y104</f>
        <v>402</v>
      </c>
      <c r="Z104" s="53">
        <f>'[3]Forecast (pcs.)'!Z104</f>
        <v>342</v>
      </c>
      <c r="AA104" s="53">
        <f>'[3]Forecast (pcs.)'!AA104</f>
        <v>366</v>
      </c>
      <c r="AB104" s="53">
        <f>'[3]Forecast (pcs.)'!AB104</f>
        <v>330</v>
      </c>
      <c r="AC104" t="str">
        <f t="shared" si="7"/>
        <v>5202IMCT</v>
      </c>
      <c r="AD104" s="6">
        <f t="shared" si="6"/>
        <v>351.58333333333331</v>
      </c>
    </row>
    <row r="105" spans="1:30" ht="15" customHeight="1" x14ac:dyDescent="0.25">
      <c r="A105" s="2">
        <v>5203</v>
      </c>
      <c r="B105" s="15" t="s">
        <v>26</v>
      </c>
      <c r="C105" s="20">
        <v>5203</v>
      </c>
      <c r="D105" s="16" t="s">
        <v>56</v>
      </c>
      <c r="E105" s="17">
        <v>86.95</v>
      </c>
      <c r="F105" s="18">
        <v>384</v>
      </c>
      <c r="G105" s="21">
        <v>204</v>
      </c>
      <c r="H105" s="6">
        <v>84</v>
      </c>
      <c r="I105" s="22">
        <v>120</v>
      </c>
      <c r="J105" s="22">
        <v>120</v>
      </c>
      <c r="K105" s="22">
        <v>132</v>
      </c>
      <c r="L105" s="22">
        <v>168</v>
      </c>
      <c r="M105" s="22">
        <v>144</v>
      </c>
      <c r="N105" s="22">
        <v>156</v>
      </c>
      <c r="O105" s="22">
        <v>108</v>
      </c>
      <c r="P105" s="22">
        <v>168</v>
      </c>
      <c r="Q105" s="53">
        <f>'[3]Forecast (pcs.)'!Q105</f>
        <v>180</v>
      </c>
      <c r="R105" s="53">
        <f>'[3]Forecast (pcs.)'!R105</f>
        <v>108</v>
      </c>
      <c r="S105" s="53">
        <f>'[3]Forecast (pcs.)'!S105</f>
        <v>228</v>
      </c>
      <c r="T105" s="53">
        <f>'[3]Forecast (pcs.)'!T105</f>
        <v>120</v>
      </c>
      <c r="U105" s="53">
        <f>'[3]Forecast (pcs.)'!U105</f>
        <v>168</v>
      </c>
      <c r="V105" s="53">
        <f>'[3]Forecast (pcs.)'!V105</f>
        <v>72</v>
      </c>
      <c r="W105" s="53">
        <f>'[3]Forecast (pcs.)'!W105</f>
        <v>132</v>
      </c>
      <c r="X105" s="53">
        <f>'[3]Forecast (pcs.)'!X105</f>
        <v>144</v>
      </c>
      <c r="Y105" s="53">
        <f>'[3]Forecast (pcs.)'!Y105</f>
        <v>156</v>
      </c>
      <c r="Z105" s="53">
        <f>'[3]Forecast (pcs.)'!Z105</f>
        <v>132</v>
      </c>
      <c r="AA105" s="53">
        <f>'[3]Forecast (pcs.)'!AA105</f>
        <v>144</v>
      </c>
      <c r="AB105" s="53">
        <f>'[3]Forecast (pcs.)'!AB105</f>
        <v>132</v>
      </c>
      <c r="AC105" t="str">
        <f t="shared" si="7"/>
        <v>5203IMCT</v>
      </c>
      <c r="AD105" s="6">
        <f t="shared" si="6"/>
        <v>143</v>
      </c>
    </row>
    <row r="106" spans="1:30" ht="15" customHeight="1" x14ac:dyDescent="0.25">
      <c r="A106" s="2">
        <v>5246</v>
      </c>
      <c r="B106" s="15" t="s">
        <v>26</v>
      </c>
      <c r="C106" s="20">
        <v>5246</v>
      </c>
      <c r="D106" s="16" t="s">
        <v>66</v>
      </c>
      <c r="E106" s="17" t="s">
        <v>80</v>
      </c>
      <c r="F106" s="18">
        <v>256</v>
      </c>
      <c r="G106" s="21">
        <v>282</v>
      </c>
      <c r="H106" s="6">
        <v>0</v>
      </c>
      <c r="I106" s="22">
        <v>24</v>
      </c>
      <c r="J106" s="22">
        <v>30</v>
      </c>
      <c r="K106" s="22">
        <v>48</v>
      </c>
      <c r="L106" s="22">
        <v>126</v>
      </c>
      <c r="M106" s="22">
        <v>150</v>
      </c>
      <c r="N106" s="22">
        <v>108</v>
      </c>
      <c r="O106" s="22">
        <v>150</v>
      </c>
      <c r="P106" s="22">
        <v>126</v>
      </c>
      <c r="Q106" s="53">
        <f>'[3]Forecast (pcs.)'!Q106</f>
        <v>54</v>
      </c>
      <c r="R106" s="53">
        <f>'[3]Forecast (pcs.)'!R106</f>
        <v>42</v>
      </c>
      <c r="S106" s="53">
        <f>'[3]Forecast (pcs.)'!S106</f>
        <v>54</v>
      </c>
      <c r="T106" s="53">
        <f>'[3]Forecast (pcs.)'!T106</f>
        <v>60</v>
      </c>
      <c r="U106" s="53">
        <f>'[3]Forecast (pcs.)'!U106</f>
        <v>102</v>
      </c>
      <c r="V106" s="53">
        <f>'[3]Forecast (pcs.)'!V106</f>
        <v>84</v>
      </c>
      <c r="W106" s="53">
        <f>'[3]Forecast (pcs.)'!W106</f>
        <v>138</v>
      </c>
      <c r="X106" s="53">
        <f>'[3]Forecast (pcs.)'!X106</f>
        <v>120</v>
      </c>
      <c r="Y106" s="53">
        <f>'[3]Forecast (pcs.)'!Y106</f>
        <v>126</v>
      </c>
      <c r="Z106" s="53">
        <f>'[3]Forecast (pcs.)'!Z106</f>
        <v>132</v>
      </c>
      <c r="AA106" s="53">
        <f>'[3]Forecast (pcs.)'!AA106</f>
        <v>126</v>
      </c>
      <c r="AB106" s="53">
        <f>'[3]Forecast (pcs.)'!AB106</f>
        <v>150</v>
      </c>
      <c r="AC106" t="str">
        <f t="shared" si="7"/>
        <v>5246IMCT</v>
      </c>
      <c r="AD106" s="6">
        <f t="shared" si="6"/>
        <v>99</v>
      </c>
    </row>
    <row r="107" spans="1:30" ht="15" customHeight="1" x14ac:dyDescent="0.25">
      <c r="A107" s="2">
        <v>5314</v>
      </c>
      <c r="B107" s="15" t="s">
        <v>26</v>
      </c>
      <c r="C107" s="20">
        <v>5314</v>
      </c>
      <c r="D107" s="16" t="s">
        <v>228</v>
      </c>
      <c r="E107" s="17">
        <v>96.42</v>
      </c>
      <c r="F107" s="18">
        <v>5774</v>
      </c>
      <c r="G107" s="21">
        <v>5104</v>
      </c>
      <c r="H107" s="6">
        <v>2464</v>
      </c>
      <c r="I107" s="22">
        <v>1964</v>
      </c>
      <c r="J107" s="22">
        <v>2618</v>
      </c>
      <c r="K107" s="22">
        <v>2104</v>
      </c>
      <c r="L107" s="22">
        <v>2860</v>
      </c>
      <c r="M107" s="22">
        <v>2266</v>
      </c>
      <c r="N107" s="22">
        <v>2242</v>
      </c>
      <c r="O107" s="22">
        <v>3045</v>
      </c>
      <c r="P107" s="22">
        <v>1512</v>
      </c>
      <c r="Q107" s="53">
        <f>'[3]Forecast (pcs.)'!Q107</f>
        <v>3456</v>
      </c>
      <c r="R107" s="53">
        <f>'[3]Forecast (pcs.)'!R107</f>
        <v>4174</v>
      </c>
      <c r="S107" s="53">
        <f>'[3]Forecast (pcs.)'!S107</f>
        <v>3654</v>
      </c>
      <c r="T107" s="53">
        <f>'[3]Forecast (pcs.)'!T107</f>
        <v>3967</v>
      </c>
      <c r="U107" s="53">
        <f>'[3]Forecast (pcs.)'!U107</f>
        <v>3771</v>
      </c>
      <c r="V107" s="53">
        <f>'[3]Forecast (pcs.)'!V107</f>
        <v>3278</v>
      </c>
      <c r="W107" s="53">
        <f>'[3]Forecast (pcs.)'!W107</f>
        <v>3060</v>
      </c>
      <c r="X107" s="53">
        <f>'[3]Forecast (pcs.)'!X107</f>
        <v>3240</v>
      </c>
      <c r="Y107" s="53">
        <f>'[3]Forecast (pcs.)'!Y107</f>
        <v>3060</v>
      </c>
      <c r="Z107" s="53">
        <f>'[3]Forecast (pcs.)'!Z107</f>
        <v>2844</v>
      </c>
      <c r="AA107" s="53">
        <f>'[3]Forecast (pcs.)'!AA107</f>
        <v>2952</v>
      </c>
      <c r="AB107" s="53">
        <f>'[3]Forecast (pcs.)'!AB107</f>
        <v>3420</v>
      </c>
      <c r="AC107" t="str">
        <f t="shared" si="7"/>
        <v>5314IMCT</v>
      </c>
      <c r="AD107" s="6">
        <f t="shared" si="6"/>
        <v>3406.3333333333335</v>
      </c>
    </row>
    <row r="108" spans="1:30" ht="15" customHeight="1" x14ac:dyDescent="0.25">
      <c r="A108" s="2">
        <v>5528</v>
      </c>
      <c r="B108" s="15" t="s">
        <v>26</v>
      </c>
      <c r="C108" s="20">
        <v>5528</v>
      </c>
      <c r="D108" s="16" t="s">
        <v>239</v>
      </c>
      <c r="E108" s="17">
        <v>253.29</v>
      </c>
      <c r="F108" s="18">
        <v>0</v>
      </c>
      <c r="G108" s="21">
        <v>60</v>
      </c>
      <c r="H108" s="6">
        <v>0</v>
      </c>
      <c r="I108" s="22">
        <v>24</v>
      </c>
      <c r="J108" s="22">
        <v>36</v>
      </c>
      <c r="K108" s="22">
        <v>24</v>
      </c>
      <c r="L108" s="22">
        <v>36</v>
      </c>
      <c r="M108" s="22">
        <v>36</v>
      </c>
      <c r="N108" s="22">
        <v>24</v>
      </c>
      <c r="O108" s="22">
        <v>12</v>
      </c>
      <c r="P108" s="22">
        <v>12</v>
      </c>
      <c r="Q108" s="53">
        <f>'[3]Forecast (pcs.)'!Q108</f>
        <v>12</v>
      </c>
      <c r="R108" s="53">
        <f>'[3]Forecast (pcs.)'!R108</f>
        <v>12</v>
      </c>
      <c r="S108" s="53">
        <f>'[3]Forecast (pcs.)'!S108</f>
        <v>36</v>
      </c>
      <c r="T108" s="53">
        <f>'[3]Forecast (pcs.)'!T108</f>
        <v>24</v>
      </c>
      <c r="U108" s="53">
        <f>'[3]Forecast (pcs.)'!U108</f>
        <v>12</v>
      </c>
      <c r="V108" s="53">
        <f>'[3]Forecast (pcs.)'!V108</f>
        <v>12</v>
      </c>
      <c r="W108" s="53">
        <f>'[3]Forecast (pcs.)'!W108</f>
        <v>12</v>
      </c>
      <c r="X108" s="53">
        <f>'[3]Forecast (pcs.)'!X108</f>
        <v>24</v>
      </c>
      <c r="Y108" s="53">
        <f>'[3]Forecast (pcs.)'!Y108</f>
        <v>12</v>
      </c>
      <c r="Z108" s="53">
        <f>'[3]Forecast (pcs.)'!Z108</f>
        <v>24</v>
      </c>
      <c r="AA108" s="53">
        <f>'[3]Forecast (pcs.)'!AA108</f>
        <v>12</v>
      </c>
      <c r="AB108" s="53">
        <f>'[3]Forecast (pcs.)'!AB108</f>
        <v>12</v>
      </c>
      <c r="AC108" t="str">
        <f t="shared" si="7"/>
        <v>5528IMCT</v>
      </c>
      <c r="AD108" s="6">
        <f t="shared" si="6"/>
        <v>17</v>
      </c>
    </row>
    <row r="109" spans="1:30" ht="15" customHeight="1" x14ac:dyDescent="0.25">
      <c r="A109" s="2">
        <v>5529</v>
      </c>
      <c r="B109" s="15" t="s">
        <v>26</v>
      </c>
      <c r="C109" s="20">
        <v>5529</v>
      </c>
      <c r="D109" s="16" t="s">
        <v>67</v>
      </c>
      <c r="E109" s="17">
        <v>368.02</v>
      </c>
      <c r="F109" s="18">
        <v>462</v>
      </c>
      <c r="G109" s="21">
        <v>462</v>
      </c>
      <c r="H109" s="6">
        <v>12</v>
      </c>
      <c r="I109" s="22">
        <v>48</v>
      </c>
      <c r="J109" s="22">
        <v>54</v>
      </c>
      <c r="K109" s="22">
        <v>84</v>
      </c>
      <c r="L109" s="22">
        <v>184</v>
      </c>
      <c r="M109" s="22">
        <v>186</v>
      </c>
      <c r="N109" s="22">
        <v>162</v>
      </c>
      <c r="O109" s="22">
        <v>204</v>
      </c>
      <c r="P109" s="22">
        <v>154</v>
      </c>
      <c r="Q109" s="53">
        <f>'[3]Forecast (pcs.)'!Q109</f>
        <v>168</v>
      </c>
      <c r="R109" s="53">
        <f>'[3]Forecast (pcs.)'!R109</f>
        <v>172</v>
      </c>
      <c r="S109" s="53">
        <f>'[3]Forecast (pcs.)'!S109</f>
        <v>175</v>
      </c>
      <c r="T109" s="53">
        <f>'[3]Forecast (pcs.)'!T109</f>
        <v>181</v>
      </c>
      <c r="U109" s="53">
        <f>'[3]Forecast (pcs.)'!U109</f>
        <v>213</v>
      </c>
      <c r="V109" s="53">
        <f>'[3]Forecast (pcs.)'!V109</f>
        <v>183</v>
      </c>
      <c r="W109" s="53">
        <f>'[3]Forecast (pcs.)'!W109</f>
        <v>246</v>
      </c>
      <c r="X109" s="53">
        <f>'[3]Forecast (pcs.)'!X109</f>
        <v>252</v>
      </c>
      <c r="Y109" s="53">
        <f>'[3]Forecast (pcs.)'!Y109</f>
        <v>246</v>
      </c>
      <c r="Z109" s="53">
        <f>'[3]Forecast (pcs.)'!Z109</f>
        <v>216</v>
      </c>
      <c r="AA109" s="53">
        <f>'[3]Forecast (pcs.)'!AA109</f>
        <v>234</v>
      </c>
      <c r="AB109" s="53">
        <f>'[3]Forecast (pcs.)'!AB109</f>
        <v>282</v>
      </c>
      <c r="AC109" t="str">
        <f t="shared" si="7"/>
        <v>5529IMCT</v>
      </c>
      <c r="AD109" s="6">
        <f t="shared" si="6"/>
        <v>214</v>
      </c>
    </row>
    <row r="110" spans="1:30" ht="15" customHeight="1" x14ac:dyDescent="0.25">
      <c r="A110" s="2">
        <v>5530</v>
      </c>
      <c r="B110" s="15" t="s">
        <v>26</v>
      </c>
      <c r="C110" s="20">
        <v>5530</v>
      </c>
      <c r="D110" s="16" t="s">
        <v>120</v>
      </c>
      <c r="E110" s="17">
        <v>276.47000000000003</v>
      </c>
      <c r="F110" s="18">
        <v>360</v>
      </c>
      <c r="G110" s="21">
        <v>312</v>
      </c>
      <c r="H110" s="6">
        <v>117</v>
      </c>
      <c r="I110" s="22">
        <v>96</v>
      </c>
      <c r="J110" s="22">
        <v>48</v>
      </c>
      <c r="K110" s="22">
        <v>84</v>
      </c>
      <c r="L110" s="22">
        <v>66</v>
      </c>
      <c r="M110" s="22">
        <v>138</v>
      </c>
      <c r="N110" s="22">
        <v>102</v>
      </c>
      <c r="O110" s="22">
        <v>109</v>
      </c>
      <c r="P110" s="22">
        <v>64</v>
      </c>
      <c r="Q110" s="53">
        <f>'[3]Forecast (pcs.)'!Q110</f>
        <v>72</v>
      </c>
      <c r="R110" s="53">
        <f>'[3]Forecast (pcs.)'!R110</f>
        <v>110</v>
      </c>
      <c r="S110" s="53">
        <f>'[3]Forecast (pcs.)'!S110</f>
        <v>139</v>
      </c>
      <c r="T110" s="53">
        <f>'[3]Forecast (pcs.)'!T110</f>
        <v>73</v>
      </c>
      <c r="U110" s="53">
        <f>'[3]Forecast (pcs.)'!U110</f>
        <v>139</v>
      </c>
      <c r="V110" s="53">
        <f>'[3]Forecast (pcs.)'!V110</f>
        <v>56</v>
      </c>
      <c r="W110" s="53">
        <f>'[3]Forecast (pcs.)'!W110</f>
        <v>114</v>
      </c>
      <c r="X110" s="53">
        <f>'[3]Forecast (pcs.)'!X110</f>
        <v>72</v>
      </c>
      <c r="Y110" s="53">
        <f>'[3]Forecast (pcs.)'!Y110</f>
        <v>90</v>
      </c>
      <c r="Z110" s="53">
        <f>'[3]Forecast (pcs.)'!Z110</f>
        <v>102</v>
      </c>
      <c r="AA110" s="53">
        <f>'[3]Forecast (pcs.)'!AA110</f>
        <v>108</v>
      </c>
      <c r="AB110" s="53">
        <f>'[3]Forecast (pcs.)'!AB110</f>
        <v>126</v>
      </c>
      <c r="AC110" t="str">
        <f t="shared" si="7"/>
        <v>5530IMCT</v>
      </c>
      <c r="AD110" s="6">
        <f t="shared" si="6"/>
        <v>100.08333333333333</v>
      </c>
    </row>
    <row r="111" spans="1:30" ht="15" customHeight="1" x14ac:dyDescent="0.25">
      <c r="A111" s="2">
        <v>5617</v>
      </c>
      <c r="B111" s="15" t="s">
        <v>26</v>
      </c>
      <c r="C111" s="20">
        <v>5617</v>
      </c>
      <c r="D111" s="16" t="s">
        <v>215</v>
      </c>
      <c r="E111" s="17">
        <v>615.34</v>
      </c>
      <c r="F111" s="18">
        <v>456</v>
      </c>
      <c r="G111" s="21">
        <v>432</v>
      </c>
      <c r="H111" s="6">
        <v>12</v>
      </c>
      <c r="I111" s="22">
        <v>36</v>
      </c>
      <c r="J111" s="22">
        <v>36</v>
      </c>
      <c r="K111" s="22">
        <v>72</v>
      </c>
      <c r="L111" s="22">
        <v>163</v>
      </c>
      <c r="M111" s="22">
        <v>168</v>
      </c>
      <c r="N111" s="22">
        <v>144</v>
      </c>
      <c r="O111" s="22">
        <v>192</v>
      </c>
      <c r="P111" s="22">
        <v>144</v>
      </c>
      <c r="Q111" s="53">
        <f>'[3]Forecast (pcs.)'!Q111</f>
        <v>156</v>
      </c>
      <c r="R111" s="53">
        <f>'[3]Forecast (pcs.)'!R111</f>
        <v>180</v>
      </c>
      <c r="S111" s="53">
        <f>'[3]Forecast (pcs.)'!S111</f>
        <v>156</v>
      </c>
      <c r="T111" s="53">
        <f>'[3]Forecast (pcs.)'!T111</f>
        <v>168</v>
      </c>
      <c r="U111" s="53">
        <f>'[3]Forecast (pcs.)'!U111</f>
        <v>204</v>
      </c>
      <c r="V111" s="53">
        <f>'[3]Forecast (pcs.)'!V111</f>
        <v>180</v>
      </c>
      <c r="W111" s="53">
        <f>'[3]Forecast (pcs.)'!W111</f>
        <v>240</v>
      </c>
      <c r="X111" s="53">
        <f>'[3]Forecast (pcs.)'!X111</f>
        <v>240</v>
      </c>
      <c r="Y111" s="53">
        <f>'[3]Forecast (pcs.)'!Y111</f>
        <v>240</v>
      </c>
      <c r="Z111" s="53">
        <f>'[3]Forecast (pcs.)'!Z111</f>
        <v>204</v>
      </c>
      <c r="AA111" s="53">
        <f>'[3]Forecast (pcs.)'!AA111</f>
        <v>228</v>
      </c>
      <c r="AB111" s="53">
        <f>'[3]Forecast (pcs.)'!AB111</f>
        <v>276</v>
      </c>
      <c r="AC111" t="str">
        <f t="shared" si="7"/>
        <v>5617IMCT</v>
      </c>
      <c r="AD111" s="6">
        <f t="shared" si="6"/>
        <v>206</v>
      </c>
    </row>
    <row r="112" spans="1:30" ht="15" customHeight="1" x14ac:dyDescent="0.25">
      <c r="A112" s="2">
        <v>5619</v>
      </c>
      <c r="B112" s="15" t="s">
        <v>26</v>
      </c>
      <c r="C112" s="20">
        <v>5619</v>
      </c>
      <c r="D112" s="16" t="s">
        <v>216</v>
      </c>
      <c r="E112" s="17">
        <v>697.21</v>
      </c>
      <c r="F112" s="18">
        <v>0</v>
      </c>
      <c r="G112" s="21">
        <v>0</v>
      </c>
      <c r="H112" s="6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53">
        <f>'[3]Forecast (pcs.)'!Q112</f>
        <v>0</v>
      </c>
      <c r="R112" s="53">
        <f>'[3]Forecast (pcs.)'!R112</f>
        <v>0</v>
      </c>
      <c r="S112" s="53">
        <f>'[3]Forecast (pcs.)'!S112</f>
        <v>0</v>
      </c>
      <c r="T112" s="53">
        <f>'[3]Forecast (pcs.)'!T112</f>
        <v>0</v>
      </c>
      <c r="U112" s="53">
        <f>'[3]Forecast (pcs.)'!U112</f>
        <v>0</v>
      </c>
      <c r="V112" s="53">
        <f>'[3]Forecast (pcs.)'!V112</f>
        <v>0</v>
      </c>
      <c r="W112" s="53">
        <f>'[3]Forecast (pcs.)'!W112</f>
        <v>0</v>
      </c>
      <c r="X112" s="53">
        <f>'[3]Forecast (pcs.)'!X112</f>
        <v>0</v>
      </c>
      <c r="Y112" s="53">
        <f>'[3]Forecast (pcs.)'!Y112</f>
        <v>0</v>
      </c>
      <c r="Z112" s="53">
        <f>'[3]Forecast (pcs.)'!Z112</f>
        <v>0</v>
      </c>
      <c r="AA112" s="53">
        <f>'[3]Forecast (pcs.)'!AA112</f>
        <v>0</v>
      </c>
      <c r="AB112" s="53">
        <f>'[3]Forecast (pcs.)'!AB112</f>
        <v>0</v>
      </c>
      <c r="AC112" t="str">
        <f t="shared" si="7"/>
        <v>5619IMCT</v>
      </c>
      <c r="AD112" s="6">
        <f t="shared" si="6"/>
        <v>0</v>
      </c>
    </row>
    <row r="113" spans="1:30" ht="15" customHeight="1" x14ac:dyDescent="0.25">
      <c r="A113" s="2">
        <v>5620</v>
      </c>
      <c r="B113" s="15" t="s">
        <v>26</v>
      </c>
      <c r="C113" s="20">
        <v>5620</v>
      </c>
      <c r="D113" s="16" t="s">
        <v>217</v>
      </c>
      <c r="E113" s="17">
        <v>615.34</v>
      </c>
      <c r="F113" s="18">
        <v>456</v>
      </c>
      <c r="G113" s="21">
        <v>432</v>
      </c>
      <c r="H113" s="6">
        <v>12</v>
      </c>
      <c r="I113" s="22">
        <v>36</v>
      </c>
      <c r="J113" s="22">
        <v>36</v>
      </c>
      <c r="K113" s="22">
        <v>72</v>
      </c>
      <c r="L113" s="22">
        <v>163</v>
      </c>
      <c r="M113" s="22">
        <v>168</v>
      </c>
      <c r="N113" s="22">
        <v>144</v>
      </c>
      <c r="O113" s="22">
        <v>192</v>
      </c>
      <c r="P113" s="22">
        <v>144</v>
      </c>
      <c r="Q113" s="53">
        <f>'[3]Forecast (pcs.)'!Q113</f>
        <v>156</v>
      </c>
      <c r="R113" s="53">
        <f>'[3]Forecast (pcs.)'!R113</f>
        <v>156</v>
      </c>
      <c r="S113" s="53">
        <f>'[3]Forecast (pcs.)'!S113</f>
        <v>156</v>
      </c>
      <c r="T113" s="53">
        <f>'[3]Forecast (pcs.)'!T113</f>
        <v>168</v>
      </c>
      <c r="U113" s="53">
        <f>'[3]Forecast (pcs.)'!U113</f>
        <v>204</v>
      </c>
      <c r="V113" s="53">
        <f>'[3]Forecast (pcs.)'!V113</f>
        <v>180</v>
      </c>
      <c r="W113" s="53">
        <f>'[3]Forecast (pcs.)'!W113</f>
        <v>240</v>
      </c>
      <c r="X113" s="53">
        <f>'[3]Forecast (pcs.)'!X113</f>
        <v>240</v>
      </c>
      <c r="Y113" s="53">
        <f>'[3]Forecast (pcs.)'!Y113</f>
        <v>240</v>
      </c>
      <c r="Z113" s="53">
        <f>'[3]Forecast (pcs.)'!Z113</f>
        <v>204</v>
      </c>
      <c r="AA113" s="53">
        <f>'[3]Forecast (pcs.)'!AA113</f>
        <v>228</v>
      </c>
      <c r="AB113" s="53">
        <f>'[3]Forecast (pcs.)'!AB113</f>
        <v>276</v>
      </c>
      <c r="AC113" t="str">
        <f t="shared" si="7"/>
        <v>5620IMCT</v>
      </c>
      <c r="AD113" s="6">
        <f t="shared" si="6"/>
        <v>204</v>
      </c>
    </row>
    <row r="114" spans="1:30" ht="15" customHeight="1" x14ac:dyDescent="0.25">
      <c r="A114" s="2">
        <v>5621</v>
      </c>
      <c r="B114" s="15" t="s">
        <v>26</v>
      </c>
      <c r="C114" s="20">
        <v>5621</v>
      </c>
      <c r="D114" s="16" t="s">
        <v>218</v>
      </c>
      <c r="E114" s="17">
        <v>697.21</v>
      </c>
      <c r="F114" s="18">
        <v>0</v>
      </c>
      <c r="G114" s="21">
        <v>0</v>
      </c>
      <c r="H114" s="6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53">
        <f>'[3]Forecast (pcs.)'!Q114</f>
        <v>0</v>
      </c>
      <c r="R114" s="53">
        <f>'[3]Forecast (pcs.)'!R114</f>
        <v>0</v>
      </c>
      <c r="S114" s="53">
        <f>'[3]Forecast (pcs.)'!S114</f>
        <v>0</v>
      </c>
      <c r="T114" s="53">
        <f>'[3]Forecast (pcs.)'!T114</f>
        <v>0</v>
      </c>
      <c r="U114" s="53">
        <f>'[3]Forecast (pcs.)'!U114</f>
        <v>0</v>
      </c>
      <c r="V114" s="53">
        <f>'[3]Forecast (pcs.)'!V114</f>
        <v>0</v>
      </c>
      <c r="W114" s="53">
        <f>'[3]Forecast (pcs.)'!W114</f>
        <v>0</v>
      </c>
      <c r="X114" s="53">
        <f>'[3]Forecast (pcs.)'!X114</f>
        <v>0</v>
      </c>
      <c r="Y114" s="53">
        <f>'[3]Forecast (pcs.)'!Y114</f>
        <v>0</v>
      </c>
      <c r="Z114" s="53">
        <f>'[3]Forecast (pcs.)'!Z114</f>
        <v>0</v>
      </c>
      <c r="AA114" s="53">
        <f>'[3]Forecast (pcs.)'!AA114</f>
        <v>0</v>
      </c>
      <c r="AB114" s="53">
        <f>'[3]Forecast (pcs.)'!AB114</f>
        <v>0</v>
      </c>
      <c r="AC114" t="str">
        <f t="shared" si="7"/>
        <v>5621IMCT</v>
      </c>
      <c r="AD114" s="6">
        <f t="shared" si="6"/>
        <v>0</v>
      </c>
    </row>
    <row r="115" spans="1:30" ht="15" customHeight="1" x14ac:dyDescent="0.25">
      <c r="A115" s="2">
        <v>5813</v>
      </c>
      <c r="B115" s="15" t="s">
        <v>26</v>
      </c>
      <c r="C115" s="20">
        <v>5813</v>
      </c>
      <c r="D115" s="16" t="s">
        <v>64</v>
      </c>
      <c r="E115" s="17">
        <v>171.51</v>
      </c>
      <c r="F115" s="18">
        <v>321</v>
      </c>
      <c r="G115" s="21">
        <v>351</v>
      </c>
      <c r="H115" s="6">
        <v>234</v>
      </c>
      <c r="I115" s="22">
        <v>219</v>
      </c>
      <c r="J115" s="22">
        <v>233</v>
      </c>
      <c r="K115" s="22">
        <v>219</v>
      </c>
      <c r="L115" s="22">
        <v>162</v>
      </c>
      <c r="M115" s="22">
        <v>102</v>
      </c>
      <c r="N115" s="22">
        <v>139</v>
      </c>
      <c r="O115" s="22">
        <v>140</v>
      </c>
      <c r="P115" s="22">
        <v>110</v>
      </c>
      <c r="Q115" s="53">
        <f>'[3]Forecast (pcs.)'!Q115</f>
        <v>378</v>
      </c>
      <c r="R115" s="53">
        <f>'[3]Forecast (pcs.)'!R115</f>
        <v>352</v>
      </c>
      <c r="S115" s="53">
        <f>'[3]Forecast (pcs.)'!S115</f>
        <v>307</v>
      </c>
      <c r="T115" s="53">
        <f>'[3]Forecast (pcs.)'!T115</f>
        <v>328</v>
      </c>
      <c r="U115" s="53">
        <f>'[3]Forecast (pcs.)'!U115</f>
        <v>305</v>
      </c>
      <c r="V115" s="53">
        <f>'[3]Forecast (pcs.)'!V115</f>
        <v>244</v>
      </c>
      <c r="W115" s="53">
        <f>'[3]Forecast (pcs.)'!W115</f>
        <v>270</v>
      </c>
      <c r="X115" s="53">
        <f>'[3]Forecast (pcs.)'!X115</f>
        <v>300</v>
      </c>
      <c r="Y115" s="53">
        <f>'[3]Forecast (pcs.)'!Y115</f>
        <v>270</v>
      </c>
      <c r="Z115" s="53">
        <f>'[3]Forecast (pcs.)'!Z115</f>
        <v>270</v>
      </c>
      <c r="AA115" s="53">
        <f>'[3]Forecast (pcs.)'!AA115</f>
        <v>264</v>
      </c>
      <c r="AB115" s="53">
        <f>'[3]Forecast (pcs.)'!AB115</f>
        <v>294</v>
      </c>
      <c r="AC115" t="str">
        <f t="shared" si="7"/>
        <v>5813IMCT</v>
      </c>
      <c r="AD115" s="6">
        <f t="shared" si="6"/>
        <v>298.5</v>
      </c>
    </row>
    <row r="116" spans="1:30" ht="15" customHeight="1" x14ac:dyDescent="0.25">
      <c r="A116" s="2">
        <v>5814</v>
      </c>
      <c r="B116" s="15" t="s">
        <v>26</v>
      </c>
      <c r="C116" s="20">
        <v>5814</v>
      </c>
      <c r="D116" s="16" t="s">
        <v>65</v>
      </c>
      <c r="E116" s="17">
        <v>169.17</v>
      </c>
      <c r="F116" s="18">
        <v>294</v>
      </c>
      <c r="G116" s="21">
        <v>348</v>
      </c>
      <c r="H116" s="6">
        <v>228</v>
      </c>
      <c r="I116" s="22">
        <v>207</v>
      </c>
      <c r="J116" s="22">
        <v>210</v>
      </c>
      <c r="K116" s="22">
        <v>198</v>
      </c>
      <c r="L116" s="22">
        <v>133</v>
      </c>
      <c r="M116" s="22">
        <v>84</v>
      </c>
      <c r="N116" s="22">
        <v>120</v>
      </c>
      <c r="O116" s="22">
        <v>132</v>
      </c>
      <c r="P116" s="22">
        <v>108</v>
      </c>
      <c r="Q116" s="53">
        <f>'[3]Forecast (pcs.)'!Q116</f>
        <v>362</v>
      </c>
      <c r="R116" s="53">
        <f>'[3]Forecast (pcs.)'!R116</f>
        <v>330</v>
      </c>
      <c r="S116" s="53">
        <f>'[3]Forecast (pcs.)'!S116</f>
        <v>300</v>
      </c>
      <c r="T116" s="53">
        <f>'[3]Forecast (pcs.)'!T116</f>
        <v>306</v>
      </c>
      <c r="U116" s="53">
        <f>'[3]Forecast (pcs.)'!U116</f>
        <v>288</v>
      </c>
      <c r="V116" s="53">
        <f>'[3]Forecast (pcs.)'!V116</f>
        <v>222</v>
      </c>
      <c r="W116" s="53">
        <f>'[3]Forecast (pcs.)'!W116</f>
        <v>264</v>
      </c>
      <c r="X116" s="53">
        <f>'[3]Forecast (pcs.)'!X116</f>
        <v>294</v>
      </c>
      <c r="Y116" s="53">
        <f>'[3]Forecast (pcs.)'!Y116</f>
        <v>258</v>
      </c>
      <c r="Z116" s="53">
        <f>'[3]Forecast (pcs.)'!Z116</f>
        <v>264</v>
      </c>
      <c r="AA116" s="53">
        <f>'[3]Forecast (pcs.)'!AA116</f>
        <v>252</v>
      </c>
      <c r="AB116" s="53">
        <f>'[3]Forecast (pcs.)'!AB116</f>
        <v>282</v>
      </c>
      <c r="AC116" t="str">
        <f t="shared" si="7"/>
        <v>5814IMCT</v>
      </c>
      <c r="AD116" s="6">
        <f t="shared" si="6"/>
        <v>285.16666666666669</v>
      </c>
    </row>
    <row r="117" spans="1:30" ht="15" customHeight="1" x14ac:dyDescent="0.25">
      <c r="A117" s="2">
        <v>5822</v>
      </c>
      <c r="B117" s="15" t="s">
        <v>26</v>
      </c>
      <c r="C117" s="20">
        <v>5822</v>
      </c>
      <c r="D117" s="16" t="s">
        <v>219</v>
      </c>
      <c r="E117" s="17">
        <v>486.06</v>
      </c>
      <c r="F117" s="18">
        <v>318</v>
      </c>
      <c r="G117" s="21">
        <v>348</v>
      </c>
      <c r="H117" s="6">
        <v>234</v>
      </c>
      <c r="I117" s="22">
        <v>212</v>
      </c>
      <c r="J117" s="22">
        <v>228</v>
      </c>
      <c r="K117" s="22">
        <v>211</v>
      </c>
      <c r="L117" s="22">
        <v>154</v>
      </c>
      <c r="M117" s="22">
        <v>102</v>
      </c>
      <c r="N117" s="22">
        <v>138</v>
      </c>
      <c r="O117" s="22">
        <v>132</v>
      </c>
      <c r="P117" s="22">
        <v>108</v>
      </c>
      <c r="Q117" s="53">
        <f>'[3]Forecast (pcs.)'!Q117</f>
        <v>366</v>
      </c>
      <c r="R117" s="53">
        <f>'[3]Forecast (pcs.)'!R117</f>
        <v>342</v>
      </c>
      <c r="S117" s="53">
        <f>'[3]Forecast (pcs.)'!S117</f>
        <v>306</v>
      </c>
      <c r="T117" s="53">
        <f>'[3]Forecast (pcs.)'!T117</f>
        <v>324</v>
      </c>
      <c r="U117" s="53">
        <f>'[3]Forecast (pcs.)'!U117</f>
        <v>300</v>
      </c>
      <c r="V117" s="53">
        <f>'[3]Forecast (pcs.)'!V117</f>
        <v>240</v>
      </c>
      <c r="W117" s="53">
        <f>'[3]Forecast (pcs.)'!W117</f>
        <v>270</v>
      </c>
      <c r="X117" s="53">
        <f>'[3]Forecast (pcs.)'!X117</f>
        <v>300</v>
      </c>
      <c r="Y117" s="53">
        <f>'[3]Forecast (pcs.)'!Y117</f>
        <v>270</v>
      </c>
      <c r="Z117" s="53">
        <f>'[3]Forecast (pcs.)'!Z117</f>
        <v>270</v>
      </c>
      <c r="AA117" s="53">
        <f>'[3]Forecast (pcs.)'!AA117</f>
        <v>264</v>
      </c>
      <c r="AB117" s="53">
        <f>'[3]Forecast (pcs.)'!AB117</f>
        <v>294</v>
      </c>
      <c r="AC117" t="str">
        <f t="shared" si="7"/>
        <v>5822IMCT</v>
      </c>
      <c r="AD117" s="6">
        <f t="shared" si="6"/>
        <v>295.5</v>
      </c>
    </row>
    <row r="118" spans="1:30" ht="15" customHeight="1" x14ac:dyDescent="0.25">
      <c r="A118" s="2">
        <v>5823</v>
      </c>
      <c r="B118" s="15" t="s">
        <v>26</v>
      </c>
      <c r="C118" s="20">
        <v>5823</v>
      </c>
      <c r="D118" s="16" t="s">
        <v>220</v>
      </c>
      <c r="E118" s="17">
        <v>486.06</v>
      </c>
      <c r="F118" s="18">
        <v>318</v>
      </c>
      <c r="G118" s="21">
        <v>348</v>
      </c>
      <c r="H118" s="6">
        <v>240</v>
      </c>
      <c r="I118" s="22">
        <v>212</v>
      </c>
      <c r="J118" s="22">
        <v>228</v>
      </c>
      <c r="K118" s="22">
        <v>211</v>
      </c>
      <c r="L118" s="22">
        <v>153</v>
      </c>
      <c r="M118" s="22">
        <v>105</v>
      </c>
      <c r="N118" s="22">
        <v>143</v>
      </c>
      <c r="O118" s="22">
        <v>132</v>
      </c>
      <c r="P118" s="22">
        <v>108</v>
      </c>
      <c r="Q118" s="53">
        <f>'[3]Forecast (pcs.)'!Q118</f>
        <v>366</v>
      </c>
      <c r="R118" s="53">
        <f>'[3]Forecast (pcs.)'!R118</f>
        <v>342</v>
      </c>
      <c r="S118" s="53">
        <f>'[3]Forecast (pcs.)'!S118</f>
        <v>306</v>
      </c>
      <c r="T118" s="53">
        <f>'[3]Forecast (pcs.)'!T118</f>
        <v>324</v>
      </c>
      <c r="U118" s="53">
        <f>'[3]Forecast (pcs.)'!U118</f>
        <v>300</v>
      </c>
      <c r="V118" s="53">
        <f>'[3]Forecast (pcs.)'!V118</f>
        <v>240</v>
      </c>
      <c r="W118" s="53">
        <f>'[3]Forecast (pcs.)'!W118</f>
        <v>270</v>
      </c>
      <c r="X118" s="53">
        <f>'[3]Forecast (pcs.)'!X118</f>
        <v>300</v>
      </c>
      <c r="Y118" s="53">
        <f>'[3]Forecast (pcs.)'!Y118</f>
        <v>270</v>
      </c>
      <c r="Z118" s="53">
        <f>'[3]Forecast (pcs.)'!Z118</f>
        <v>270</v>
      </c>
      <c r="AA118" s="53">
        <f>'[3]Forecast (pcs.)'!AA118</f>
        <v>264</v>
      </c>
      <c r="AB118" s="53">
        <f>'[3]Forecast (pcs.)'!AB118</f>
        <v>294</v>
      </c>
      <c r="AC118" t="str">
        <f t="shared" si="7"/>
        <v>5823IMCT</v>
      </c>
      <c r="AD118" s="6">
        <f t="shared" si="6"/>
        <v>295.5</v>
      </c>
    </row>
    <row r="119" spans="1:30" ht="15" customHeight="1" x14ac:dyDescent="0.25">
      <c r="A119" s="2">
        <v>5901</v>
      </c>
      <c r="B119" s="15" t="s">
        <v>26</v>
      </c>
      <c r="C119" s="20">
        <v>5901</v>
      </c>
      <c r="D119" s="16" t="s">
        <v>70</v>
      </c>
      <c r="E119" s="17">
        <v>93.44</v>
      </c>
      <c r="F119" s="18">
        <v>36</v>
      </c>
      <c r="G119" s="21">
        <v>96</v>
      </c>
      <c r="H119" s="6">
        <v>36</v>
      </c>
      <c r="I119" s="22">
        <v>60</v>
      </c>
      <c r="J119" s="22">
        <v>60</v>
      </c>
      <c r="K119" s="22">
        <v>48</v>
      </c>
      <c r="L119" s="22">
        <v>12</v>
      </c>
      <c r="M119" s="22">
        <v>24</v>
      </c>
      <c r="N119" s="22">
        <v>12</v>
      </c>
      <c r="O119" s="22">
        <v>108</v>
      </c>
      <c r="P119" s="22">
        <v>48</v>
      </c>
      <c r="Q119" s="53">
        <f>'[3]Forecast (pcs.)'!Q119</f>
        <v>174</v>
      </c>
      <c r="R119" s="53">
        <f>'[3]Forecast (pcs.)'!R119</f>
        <v>114</v>
      </c>
      <c r="S119" s="53">
        <f>'[3]Forecast (pcs.)'!S119</f>
        <v>86</v>
      </c>
      <c r="T119" s="53">
        <f>'[3]Forecast (pcs.)'!T119</f>
        <v>36</v>
      </c>
      <c r="U119" s="53">
        <f>'[3]Forecast (pcs.)'!U119</f>
        <v>144</v>
      </c>
      <c r="V119" s="53">
        <f>'[3]Forecast (pcs.)'!V119</f>
        <v>60</v>
      </c>
      <c r="W119" s="53">
        <f>'[3]Forecast (pcs.)'!W119</f>
        <v>114</v>
      </c>
      <c r="X119" s="53">
        <f>'[3]Forecast (pcs.)'!X119</f>
        <v>108</v>
      </c>
      <c r="Y119" s="53">
        <f>'[3]Forecast (pcs.)'!Y119</f>
        <v>114</v>
      </c>
      <c r="Z119" s="53">
        <f>'[3]Forecast (pcs.)'!Z119</f>
        <v>114</v>
      </c>
      <c r="AA119" s="53">
        <f>'[3]Forecast (pcs.)'!AA119</f>
        <v>126</v>
      </c>
      <c r="AB119" s="53">
        <f>'[3]Forecast (pcs.)'!AB119</f>
        <v>102</v>
      </c>
      <c r="AC119" t="str">
        <f t="shared" si="7"/>
        <v>5901IMCT</v>
      </c>
      <c r="AD119" s="6">
        <f t="shared" si="6"/>
        <v>107.66666666666667</v>
      </c>
    </row>
    <row r="120" spans="1:30" ht="15" customHeight="1" x14ac:dyDescent="0.25">
      <c r="A120" s="2">
        <v>6153</v>
      </c>
      <c r="B120" s="15" t="s">
        <v>26</v>
      </c>
      <c r="C120" s="20">
        <v>6153</v>
      </c>
      <c r="D120" s="16" t="s">
        <v>69</v>
      </c>
      <c r="E120" s="17">
        <v>84.98</v>
      </c>
      <c r="F120" s="18">
        <v>360</v>
      </c>
      <c r="G120" s="21">
        <v>312</v>
      </c>
      <c r="H120" s="6">
        <v>112</v>
      </c>
      <c r="I120" s="22">
        <v>96</v>
      </c>
      <c r="J120" s="22">
        <v>48</v>
      </c>
      <c r="K120" s="22">
        <v>84</v>
      </c>
      <c r="L120" s="22">
        <v>60</v>
      </c>
      <c r="M120" s="22">
        <v>132</v>
      </c>
      <c r="N120" s="22">
        <v>102</v>
      </c>
      <c r="O120" s="22">
        <v>108</v>
      </c>
      <c r="P120" s="22">
        <v>61</v>
      </c>
      <c r="Q120" s="53">
        <f>'[3]Forecast (pcs.)'!Q120</f>
        <v>72</v>
      </c>
      <c r="R120" s="53">
        <f>'[3]Forecast (pcs.)'!R120</f>
        <v>108</v>
      </c>
      <c r="S120" s="53">
        <f>'[3]Forecast (pcs.)'!S120</f>
        <v>138</v>
      </c>
      <c r="T120" s="53">
        <f>'[3]Forecast (pcs.)'!T120</f>
        <v>72</v>
      </c>
      <c r="U120" s="53">
        <f>'[3]Forecast (pcs.)'!U120</f>
        <v>138</v>
      </c>
      <c r="V120" s="53">
        <f>'[3]Forecast (pcs.)'!V120</f>
        <v>54</v>
      </c>
      <c r="W120" s="53">
        <f>'[3]Forecast (pcs.)'!W120</f>
        <v>114</v>
      </c>
      <c r="X120" s="53">
        <f>'[3]Forecast (pcs.)'!X120</f>
        <v>72</v>
      </c>
      <c r="Y120" s="53">
        <f>'[3]Forecast (pcs.)'!Y120</f>
        <v>90</v>
      </c>
      <c r="Z120" s="53">
        <f>'[3]Forecast (pcs.)'!Z120</f>
        <v>102</v>
      </c>
      <c r="AA120" s="53">
        <f>'[3]Forecast (pcs.)'!AA120</f>
        <v>108</v>
      </c>
      <c r="AB120" s="53">
        <f>'[3]Forecast (pcs.)'!AB120</f>
        <v>126</v>
      </c>
      <c r="AC120" t="str">
        <f t="shared" si="7"/>
        <v>6153IMCT</v>
      </c>
      <c r="AD120" s="6">
        <f t="shared" si="6"/>
        <v>99.5</v>
      </c>
    </row>
    <row r="121" spans="1:30" ht="15" customHeight="1" x14ac:dyDescent="0.25">
      <c r="A121" s="2">
        <v>6328</v>
      </c>
      <c r="B121" s="33" t="s">
        <v>26</v>
      </c>
      <c r="C121" s="34">
        <v>6328</v>
      </c>
      <c r="D121" s="35" t="s">
        <v>182</v>
      </c>
      <c r="E121" s="17">
        <v>308</v>
      </c>
      <c r="F121" s="36">
        <v>54</v>
      </c>
      <c r="G121" s="19">
        <v>0</v>
      </c>
      <c r="H121" s="19">
        <v>90</v>
      </c>
      <c r="I121" s="37">
        <v>150</v>
      </c>
      <c r="J121" s="37">
        <v>150</v>
      </c>
      <c r="K121" s="37">
        <v>156</v>
      </c>
      <c r="L121" s="37">
        <v>126</v>
      </c>
      <c r="M121" s="37">
        <v>54</v>
      </c>
      <c r="N121" s="37">
        <v>78</v>
      </c>
      <c r="O121" s="37">
        <v>72</v>
      </c>
      <c r="P121" s="37">
        <v>60</v>
      </c>
      <c r="Q121" s="53">
        <f>'[3]Forecast (pcs.)'!Q121</f>
        <v>294</v>
      </c>
      <c r="R121" s="53">
        <f>'[3]Forecast (pcs.)'!R121</f>
        <v>252</v>
      </c>
      <c r="S121" s="53">
        <f>'[3]Forecast (pcs.)'!S121</f>
        <v>259</v>
      </c>
      <c r="T121" s="53">
        <f>'[3]Forecast (pcs.)'!T121</f>
        <v>246</v>
      </c>
      <c r="U121" s="53">
        <f>'[3]Forecast (pcs.)'!U121</f>
        <v>228</v>
      </c>
      <c r="V121" s="53">
        <f>'[3]Forecast (pcs.)'!V121</f>
        <v>222</v>
      </c>
      <c r="W121" s="53">
        <f>'[3]Forecast (pcs.)'!W121</f>
        <v>234</v>
      </c>
      <c r="X121" s="53">
        <f>'[3]Forecast (pcs.)'!X121</f>
        <v>234</v>
      </c>
      <c r="Y121" s="53">
        <f>'[3]Forecast (pcs.)'!Y121</f>
        <v>252</v>
      </c>
      <c r="Z121" s="53">
        <f>'[3]Forecast (pcs.)'!Z121</f>
        <v>198</v>
      </c>
      <c r="AA121" s="53">
        <f>'[3]Forecast (pcs.)'!AA121</f>
        <v>228</v>
      </c>
      <c r="AB121" s="53">
        <f>'[3]Forecast (pcs.)'!AB121</f>
        <v>228</v>
      </c>
      <c r="AC121" s="38" t="str">
        <f t="shared" si="7"/>
        <v>6328IMCT</v>
      </c>
      <c r="AD121" s="39">
        <f t="shared" si="6"/>
        <v>239.58333333333334</v>
      </c>
    </row>
    <row r="122" spans="1:30" ht="15" customHeight="1" x14ac:dyDescent="0.25">
      <c r="A122" s="2">
        <v>6330</v>
      </c>
      <c r="B122" s="33" t="s">
        <v>26</v>
      </c>
      <c r="C122" s="34">
        <v>6330</v>
      </c>
      <c r="D122" s="35" t="s">
        <v>204</v>
      </c>
      <c r="E122" s="17">
        <v>251.78</v>
      </c>
      <c r="F122" s="36">
        <v>0</v>
      </c>
      <c r="G122" s="19">
        <v>0</v>
      </c>
      <c r="H122" s="19">
        <v>72</v>
      </c>
      <c r="I122" s="37">
        <v>72</v>
      </c>
      <c r="J122" s="37">
        <v>48</v>
      </c>
      <c r="K122" s="37">
        <v>72</v>
      </c>
      <c r="L122" s="37">
        <v>26</v>
      </c>
      <c r="M122" s="37">
        <v>48</v>
      </c>
      <c r="N122" s="37">
        <v>24</v>
      </c>
      <c r="O122" s="37">
        <v>48</v>
      </c>
      <c r="P122" s="37">
        <v>24</v>
      </c>
      <c r="Q122" s="53">
        <f>'[3]Forecast (pcs.)'!Q122</f>
        <v>144</v>
      </c>
      <c r="R122" s="53">
        <f>'[3]Forecast (pcs.)'!R122</f>
        <v>120</v>
      </c>
      <c r="S122" s="53">
        <f>'[3]Forecast (pcs.)'!S122</f>
        <v>24</v>
      </c>
      <c r="T122" s="53">
        <f>'[3]Forecast (pcs.)'!T122</f>
        <v>24</v>
      </c>
      <c r="U122" s="53">
        <f>'[3]Forecast (pcs.)'!U122</f>
        <v>72</v>
      </c>
      <c r="V122" s="53">
        <f>'[3]Forecast (pcs.)'!V122</f>
        <v>48</v>
      </c>
      <c r="W122" s="53">
        <f>'[3]Forecast (pcs.)'!W122</f>
        <v>96</v>
      </c>
      <c r="X122" s="53">
        <f>'[3]Forecast (pcs.)'!X122</f>
        <v>120</v>
      </c>
      <c r="Y122" s="53">
        <f>'[3]Forecast (pcs.)'!Y122</f>
        <v>72</v>
      </c>
      <c r="Z122" s="53">
        <f>'[3]Forecast (pcs.)'!Z122</f>
        <v>72</v>
      </c>
      <c r="AA122" s="53">
        <f>'[3]Forecast (pcs.)'!AA122</f>
        <v>96</v>
      </c>
      <c r="AB122" s="53">
        <f>'[3]Forecast (pcs.)'!AB122</f>
        <v>96</v>
      </c>
      <c r="AC122" s="38" t="str">
        <f t="shared" si="7"/>
        <v>6330IMCT</v>
      </c>
      <c r="AD122" s="39">
        <f t="shared" si="6"/>
        <v>82</v>
      </c>
    </row>
    <row r="123" spans="1:30" ht="15" customHeight="1" x14ac:dyDescent="0.25">
      <c r="A123" s="2">
        <v>6331</v>
      </c>
      <c r="B123" s="33" t="s">
        <v>26</v>
      </c>
      <c r="C123" s="34">
        <v>6331</v>
      </c>
      <c r="D123" s="35" t="s">
        <v>205</v>
      </c>
      <c r="E123" s="17">
        <v>251.78</v>
      </c>
      <c r="F123" s="36">
        <v>0</v>
      </c>
      <c r="G123" s="19">
        <v>0</v>
      </c>
      <c r="H123" s="19">
        <v>204</v>
      </c>
      <c r="I123" s="37">
        <v>204</v>
      </c>
      <c r="J123" s="37">
        <v>204</v>
      </c>
      <c r="K123" s="37">
        <v>144</v>
      </c>
      <c r="L123" s="37">
        <v>132</v>
      </c>
      <c r="M123" s="37">
        <v>36</v>
      </c>
      <c r="N123" s="37">
        <v>132</v>
      </c>
      <c r="O123" s="37">
        <v>48</v>
      </c>
      <c r="P123" s="37">
        <v>72</v>
      </c>
      <c r="Q123" s="53">
        <f>'[3]Forecast (pcs.)'!Q123</f>
        <v>276</v>
      </c>
      <c r="R123" s="53">
        <f>'[3]Forecast (pcs.)'!R123</f>
        <v>192</v>
      </c>
      <c r="S123" s="53">
        <f>'[3]Forecast (pcs.)'!S123</f>
        <v>228</v>
      </c>
      <c r="T123" s="53">
        <f>'[3]Forecast (pcs.)'!T123</f>
        <v>180</v>
      </c>
      <c r="U123" s="53">
        <f>'[3]Forecast (pcs.)'!U123</f>
        <v>192</v>
      </c>
      <c r="V123" s="53">
        <f>'[3]Forecast (pcs.)'!V123</f>
        <v>204</v>
      </c>
      <c r="W123" s="53">
        <f>'[3]Forecast (pcs.)'!W123</f>
        <v>180</v>
      </c>
      <c r="X123" s="53">
        <f>'[3]Forecast (pcs.)'!X123</f>
        <v>180</v>
      </c>
      <c r="Y123" s="53">
        <f>'[3]Forecast (pcs.)'!Y123</f>
        <v>192</v>
      </c>
      <c r="Z123" s="53">
        <f>'[3]Forecast (pcs.)'!Z123</f>
        <v>132</v>
      </c>
      <c r="AA123" s="53">
        <f>'[3]Forecast (pcs.)'!AA123</f>
        <v>168</v>
      </c>
      <c r="AB123" s="53">
        <f>'[3]Forecast (pcs.)'!AB123</f>
        <v>168</v>
      </c>
      <c r="AC123" s="38" t="str">
        <f t="shared" si="7"/>
        <v>6331IMCT</v>
      </c>
      <c r="AD123" s="39">
        <f t="shared" si="6"/>
        <v>191</v>
      </c>
    </row>
    <row r="124" spans="1:30" ht="15" customHeight="1" x14ac:dyDescent="0.25">
      <c r="A124" s="2">
        <v>6332</v>
      </c>
      <c r="B124" s="33" t="s">
        <v>26</v>
      </c>
      <c r="C124" s="33">
        <v>6332</v>
      </c>
      <c r="D124" s="35" t="s">
        <v>206</v>
      </c>
      <c r="E124" s="17">
        <v>285.45</v>
      </c>
      <c r="F124" s="36">
        <v>12</v>
      </c>
      <c r="G124" s="19">
        <v>0</v>
      </c>
      <c r="H124" s="19">
        <v>0</v>
      </c>
      <c r="I124" s="37">
        <v>0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37">
        <v>0</v>
      </c>
      <c r="P124" s="37">
        <v>0</v>
      </c>
      <c r="Q124" s="53">
        <f>'[3]Forecast (pcs.)'!Q124</f>
        <v>0</v>
      </c>
      <c r="R124" s="53">
        <f>'[3]Forecast (pcs.)'!R124</f>
        <v>0</v>
      </c>
      <c r="S124" s="53">
        <f>'[3]Forecast (pcs.)'!S124</f>
        <v>0</v>
      </c>
      <c r="T124" s="53">
        <f>'[3]Forecast (pcs.)'!T124</f>
        <v>0</v>
      </c>
      <c r="U124" s="53">
        <f>'[3]Forecast (pcs.)'!U124</f>
        <v>0</v>
      </c>
      <c r="V124" s="53">
        <f>'[3]Forecast (pcs.)'!V124</f>
        <v>0</v>
      </c>
      <c r="W124" s="53">
        <f>'[3]Forecast (pcs.)'!W124</f>
        <v>0</v>
      </c>
      <c r="X124" s="53">
        <f>'[3]Forecast (pcs.)'!X124</f>
        <v>0</v>
      </c>
      <c r="Y124" s="53">
        <f>'[3]Forecast (pcs.)'!Y124</f>
        <v>0</v>
      </c>
      <c r="Z124" s="53">
        <f>'[3]Forecast (pcs.)'!Z124</f>
        <v>0</v>
      </c>
      <c r="AA124" s="53">
        <f>'[3]Forecast (pcs.)'!AA124</f>
        <v>0</v>
      </c>
      <c r="AB124" s="53">
        <f>'[3]Forecast (pcs.)'!AB124</f>
        <v>0</v>
      </c>
      <c r="AC124" s="38" t="str">
        <f t="shared" si="7"/>
        <v>6332IMCT</v>
      </c>
      <c r="AD124" s="39">
        <f t="shared" ref="AD124:AD135" si="8">AVERAGE(Q124:AB124)</f>
        <v>0</v>
      </c>
    </row>
    <row r="125" spans="1:30" ht="15" customHeight="1" x14ac:dyDescent="0.25">
      <c r="A125" s="2">
        <v>6333</v>
      </c>
      <c r="B125" s="33" t="s">
        <v>26</v>
      </c>
      <c r="C125" s="33">
        <v>6333</v>
      </c>
      <c r="D125" s="35" t="s">
        <v>207</v>
      </c>
      <c r="E125" s="17">
        <v>285.45</v>
      </c>
      <c r="F125" s="36">
        <v>36</v>
      </c>
      <c r="G125" s="19">
        <v>0</v>
      </c>
      <c r="H125" s="19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37">
        <v>0</v>
      </c>
      <c r="P125" s="37">
        <v>0</v>
      </c>
      <c r="Q125" s="53">
        <f>'[3]Forecast (pcs.)'!Q125</f>
        <v>0</v>
      </c>
      <c r="R125" s="53">
        <f>'[3]Forecast (pcs.)'!R125</f>
        <v>0</v>
      </c>
      <c r="S125" s="53">
        <f>'[3]Forecast (pcs.)'!S125</f>
        <v>0</v>
      </c>
      <c r="T125" s="53">
        <f>'[3]Forecast (pcs.)'!T125</f>
        <v>0</v>
      </c>
      <c r="U125" s="53">
        <f>'[3]Forecast (pcs.)'!U125</f>
        <v>0</v>
      </c>
      <c r="V125" s="53">
        <f>'[3]Forecast (pcs.)'!V125</f>
        <v>0</v>
      </c>
      <c r="W125" s="53">
        <f>'[3]Forecast (pcs.)'!W125</f>
        <v>0</v>
      </c>
      <c r="X125" s="53">
        <f>'[3]Forecast (pcs.)'!X125</f>
        <v>0</v>
      </c>
      <c r="Y125" s="53">
        <f>'[3]Forecast (pcs.)'!Y125</f>
        <v>0</v>
      </c>
      <c r="Z125" s="53">
        <f>'[3]Forecast (pcs.)'!Z125</f>
        <v>0</v>
      </c>
      <c r="AA125" s="53">
        <f>'[3]Forecast (pcs.)'!AA125</f>
        <v>0</v>
      </c>
      <c r="AB125" s="53">
        <f>'[3]Forecast (pcs.)'!AB125</f>
        <v>0</v>
      </c>
      <c r="AC125" s="38" t="str">
        <f t="shared" si="7"/>
        <v>6333IMCT</v>
      </c>
      <c r="AD125" s="39">
        <f t="shared" si="8"/>
        <v>0</v>
      </c>
    </row>
    <row r="126" spans="1:30" ht="15" customHeight="1" x14ac:dyDescent="0.25">
      <c r="A126" s="2">
        <v>6334</v>
      </c>
      <c r="B126" s="33" t="s">
        <v>26</v>
      </c>
      <c r="C126" s="33">
        <v>6334</v>
      </c>
      <c r="D126" s="35" t="s">
        <v>208</v>
      </c>
      <c r="E126" s="17">
        <v>156.21</v>
      </c>
      <c r="F126" s="36">
        <v>0</v>
      </c>
      <c r="G126" s="19">
        <v>0</v>
      </c>
      <c r="H126" s="19">
        <v>0</v>
      </c>
      <c r="I126" s="37">
        <v>0</v>
      </c>
      <c r="J126" s="37">
        <v>0</v>
      </c>
      <c r="K126" s="37">
        <v>0</v>
      </c>
      <c r="L126" s="37">
        <v>0</v>
      </c>
      <c r="M126" s="37">
        <v>0</v>
      </c>
      <c r="N126" s="37">
        <v>0</v>
      </c>
      <c r="O126" s="37">
        <v>0</v>
      </c>
      <c r="P126" s="37">
        <v>0</v>
      </c>
      <c r="Q126" s="53">
        <f>'[3]Forecast (pcs.)'!Q126</f>
        <v>0</v>
      </c>
      <c r="R126" s="53">
        <f>'[3]Forecast (pcs.)'!R126</f>
        <v>0</v>
      </c>
      <c r="S126" s="53">
        <f>'[3]Forecast (pcs.)'!S126</f>
        <v>0</v>
      </c>
      <c r="T126" s="53">
        <f>'[3]Forecast (pcs.)'!T126</f>
        <v>0</v>
      </c>
      <c r="U126" s="53">
        <f>'[3]Forecast (pcs.)'!U126</f>
        <v>0</v>
      </c>
      <c r="V126" s="53">
        <f>'[3]Forecast (pcs.)'!V126</f>
        <v>0</v>
      </c>
      <c r="W126" s="53">
        <f>'[3]Forecast (pcs.)'!W126</f>
        <v>0</v>
      </c>
      <c r="X126" s="53">
        <f>'[3]Forecast (pcs.)'!X126</f>
        <v>0</v>
      </c>
      <c r="Y126" s="53">
        <f>'[3]Forecast (pcs.)'!Y126</f>
        <v>0</v>
      </c>
      <c r="Z126" s="53">
        <f>'[3]Forecast (pcs.)'!Z126</f>
        <v>0</v>
      </c>
      <c r="AA126" s="53">
        <f>'[3]Forecast (pcs.)'!AA126</f>
        <v>0</v>
      </c>
      <c r="AB126" s="53">
        <f>'[3]Forecast (pcs.)'!AB126</f>
        <v>0</v>
      </c>
      <c r="AC126" s="38" t="str">
        <f t="shared" si="7"/>
        <v>6334IMCT</v>
      </c>
      <c r="AD126" s="39">
        <f t="shared" si="8"/>
        <v>0</v>
      </c>
    </row>
    <row r="127" spans="1:30" ht="15" customHeight="1" x14ac:dyDescent="0.25">
      <c r="A127" s="2">
        <v>6335</v>
      </c>
      <c r="B127" s="33" t="s">
        <v>26</v>
      </c>
      <c r="C127" s="33">
        <v>6335</v>
      </c>
      <c r="D127" s="35" t="s">
        <v>209</v>
      </c>
      <c r="E127" s="17">
        <v>230.07</v>
      </c>
      <c r="F127" s="36">
        <v>264</v>
      </c>
      <c r="G127" s="19">
        <v>0</v>
      </c>
      <c r="H127" s="19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0</v>
      </c>
      <c r="O127" s="37">
        <v>0</v>
      </c>
      <c r="P127" s="37">
        <v>0</v>
      </c>
      <c r="Q127" s="53">
        <f>'[3]Forecast (pcs.)'!Q127</f>
        <v>0</v>
      </c>
      <c r="R127" s="53">
        <f>'[3]Forecast (pcs.)'!R127</f>
        <v>0</v>
      </c>
      <c r="S127" s="53">
        <f>'[3]Forecast (pcs.)'!S127</f>
        <v>0</v>
      </c>
      <c r="T127" s="53">
        <f>'[3]Forecast (pcs.)'!T127</f>
        <v>0</v>
      </c>
      <c r="U127" s="53">
        <f>'[3]Forecast (pcs.)'!U127</f>
        <v>0</v>
      </c>
      <c r="V127" s="53">
        <f>'[3]Forecast (pcs.)'!V127</f>
        <v>0</v>
      </c>
      <c r="W127" s="53">
        <f>'[3]Forecast (pcs.)'!W127</f>
        <v>0</v>
      </c>
      <c r="X127" s="53">
        <f>'[3]Forecast (pcs.)'!X127</f>
        <v>0</v>
      </c>
      <c r="Y127" s="53">
        <f>'[3]Forecast (pcs.)'!Y127</f>
        <v>0</v>
      </c>
      <c r="Z127" s="53">
        <f>'[3]Forecast (pcs.)'!Z127</f>
        <v>0</v>
      </c>
      <c r="AA127" s="53">
        <f>'[3]Forecast (pcs.)'!AA127</f>
        <v>0</v>
      </c>
      <c r="AB127" s="53">
        <f>'[3]Forecast (pcs.)'!AB127</f>
        <v>0</v>
      </c>
      <c r="AC127" s="38" t="str">
        <f t="shared" si="7"/>
        <v>6335IMCT</v>
      </c>
      <c r="AD127" s="39">
        <f t="shared" si="8"/>
        <v>0</v>
      </c>
    </row>
    <row r="128" spans="1:30" ht="15" customHeight="1" x14ac:dyDescent="0.25">
      <c r="A128" s="2">
        <v>6336</v>
      </c>
      <c r="B128" s="33" t="s">
        <v>26</v>
      </c>
      <c r="C128" s="33">
        <v>6336</v>
      </c>
      <c r="D128" s="35" t="s">
        <v>203</v>
      </c>
      <c r="E128" s="17">
        <v>176.41</v>
      </c>
      <c r="F128" s="36">
        <v>30</v>
      </c>
      <c r="G128" s="19">
        <v>0</v>
      </c>
      <c r="H128" s="19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37">
        <v>0</v>
      </c>
      <c r="P128" s="37">
        <v>0</v>
      </c>
      <c r="Q128" s="53">
        <f>'[3]Forecast (pcs.)'!Q128</f>
        <v>0</v>
      </c>
      <c r="R128" s="53">
        <f>'[3]Forecast (pcs.)'!R128</f>
        <v>0</v>
      </c>
      <c r="S128" s="53">
        <f>'[3]Forecast (pcs.)'!S128</f>
        <v>0</v>
      </c>
      <c r="T128" s="53">
        <f>'[3]Forecast (pcs.)'!T128</f>
        <v>0</v>
      </c>
      <c r="U128" s="53">
        <f>'[3]Forecast (pcs.)'!U128</f>
        <v>0</v>
      </c>
      <c r="V128" s="53">
        <f>'[3]Forecast (pcs.)'!V128</f>
        <v>0</v>
      </c>
      <c r="W128" s="53">
        <f>'[3]Forecast (pcs.)'!W128</f>
        <v>0</v>
      </c>
      <c r="X128" s="53">
        <f>'[3]Forecast (pcs.)'!X128</f>
        <v>0</v>
      </c>
      <c r="Y128" s="53">
        <f>'[3]Forecast (pcs.)'!Y128</f>
        <v>0</v>
      </c>
      <c r="Z128" s="53">
        <f>'[3]Forecast (pcs.)'!Z128</f>
        <v>0</v>
      </c>
      <c r="AA128" s="53">
        <f>'[3]Forecast (pcs.)'!AA128</f>
        <v>0</v>
      </c>
      <c r="AB128" s="53">
        <f>'[3]Forecast (pcs.)'!AB128</f>
        <v>0</v>
      </c>
      <c r="AC128" s="38" t="str">
        <f t="shared" si="7"/>
        <v>6336IMCT</v>
      </c>
      <c r="AD128" s="39">
        <f t="shared" si="8"/>
        <v>0</v>
      </c>
    </row>
    <row r="129" spans="1:30" ht="15" customHeight="1" x14ac:dyDescent="0.25">
      <c r="A129" s="2">
        <v>6337</v>
      </c>
      <c r="B129" s="33" t="s">
        <v>26</v>
      </c>
      <c r="C129" s="34">
        <v>6337</v>
      </c>
      <c r="D129" s="35" t="s">
        <v>178</v>
      </c>
      <c r="E129" s="17">
        <v>323.81</v>
      </c>
      <c r="F129" s="36">
        <v>96</v>
      </c>
      <c r="G129" s="19">
        <v>0</v>
      </c>
      <c r="H129" s="19">
        <v>24</v>
      </c>
      <c r="I129" s="37">
        <v>12</v>
      </c>
      <c r="J129" s="37">
        <v>18</v>
      </c>
      <c r="K129" s="37">
        <v>12</v>
      </c>
      <c r="L129" s="37">
        <v>0</v>
      </c>
      <c r="M129" s="37">
        <v>18</v>
      </c>
      <c r="N129" s="37">
        <v>6</v>
      </c>
      <c r="O129" s="37">
        <v>36</v>
      </c>
      <c r="P129" s="37">
        <v>30</v>
      </c>
      <c r="Q129" s="53">
        <f>'[3]Forecast (pcs.)'!Q129</f>
        <v>48</v>
      </c>
      <c r="R129" s="53">
        <f>'[3]Forecast (pcs.)'!R129</f>
        <v>30</v>
      </c>
      <c r="S129" s="53">
        <f>'[3]Forecast (pcs.)'!S129</f>
        <v>0</v>
      </c>
      <c r="T129" s="53">
        <f>'[3]Forecast (pcs.)'!T129</f>
        <v>30</v>
      </c>
      <c r="U129" s="53">
        <f>'[3]Forecast (pcs.)'!U129</f>
        <v>24</v>
      </c>
      <c r="V129" s="53">
        <f>'[3]Forecast (pcs.)'!V129</f>
        <v>18</v>
      </c>
      <c r="W129" s="53">
        <f>'[3]Forecast (pcs.)'!W129</f>
        <v>24</v>
      </c>
      <c r="X129" s="53">
        <f>'[3]Forecast (pcs.)'!X129</f>
        <v>30</v>
      </c>
      <c r="Y129" s="53">
        <f>'[3]Forecast (pcs.)'!Y129</f>
        <v>6</v>
      </c>
      <c r="Z129" s="53">
        <f>'[3]Forecast (pcs.)'!Z129</f>
        <v>36</v>
      </c>
      <c r="AA129" s="53">
        <f>'[3]Forecast (pcs.)'!AA129</f>
        <v>18</v>
      </c>
      <c r="AB129" s="53">
        <f>'[3]Forecast (pcs.)'!AB129</f>
        <v>18</v>
      </c>
      <c r="AC129" s="38" t="str">
        <f t="shared" si="7"/>
        <v>6337IMCT</v>
      </c>
      <c r="AD129" s="39">
        <f t="shared" si="8"/>
        <v>23.5</v>
      </c>
    </row>
    <row r="130" spans="1:30" ht="15" customHeight="1" x14ac:dyDescent="0.25">
      <c r="A130" s="2">
        <v>6338</v>
      </c>
      <c r="B130" s="33" t="s">
        <v>26</v>
      </c>
      <c r="C130" s="33">
        <v>6338</v>
      </c>
      <c r="D130" s="35" t="s">
        <v>179</v>
      </c>
      <c r="E130" s="17">
        <v>247.03</v>
      </c>
      <c r="F130" s="36">
        <v>0</v>
      </c>
      <c r="G130" s="19">
        <v>0</v>
      </c>
      <c r="H130" s="19">
        <v>0</v>
      </c>
      <c r="I130" s="37">
        <v>0</v>
      </c>
      <c r="J130" s="37">
        <v>0</v>
      </c>
      <c r="K130" s="37">
        <v>0</v>
      </c>
      <c r="L130" s="37">
        <v>0</v>
      </c>
      <c r="M130" s="37">
        <v>0</v>
      </c>
      <c r="N130" s="37">
        <v>0</v>
      </c>
      <c r="O130" s="37">
        <v>0</v>
      </c>
      <c r="P130" s="37">
        <v>0</v>
      </c>
      <c r="Q130" s="53">
        <f>'[3]Forecast (pcs.)'!Q130</f>
        <v>0</v>
      </c>
      <c r="R130" s="53">
        <f>'[3]Forecast (pcs.)'!R130</f>
        <v>0</v>
      </c>
      <c r="S130" s="53">
        <f>'[3]Forecast (pcs.)'!S130</f>
        <v>0</v>
      </c>
      <c r="T130" s="53">
        <f>'[3]Forecast (pcs.)'!T130</f>
        <v>0</v>
      </c>
      <c r="U130" s="53">
        <f>'[3]Forecast (pcs.)'!U130</f>
        <v>0</v>
      </c>
      <c r="V130" s="53">
        <f>'[3]Forecast (pcs.)'!V130</f>
        <v>0</v>
      </c>
      <c r="W130" s="53">
        <f>'[3]Forecast (pcs.)'!W130</f>
        <v>0</v>
      </c>
      <c r="X130" s="53">
        <f>'[3]Forecast (pcs.)'!X130</f>
        <v>0</v>
      </c>
      <c r="Y130" s="53">
        <f>'[3]Forecast (pcs.)'!Y130</f>
        <v>0</v>
      </c>
      <c r="Z130" s="53">
        <f>'[3]Forecast (pcs.)'!Z130</f>
        <v>0</v>
      </c>
      <c r="AA130" s="53">
        <f>'[3]Forecast (pcs.)'!AA130</f>
        <v>0</v>
      </c>
      <c r="AB130" s="53">
        <f>'[3]Forecast (pcs.)'!AB130</f>
        <v>0</v>
      </c>
      <c r="AC130" s="38" t="str">
        <f t="shared" ref="AC130:AC135" si="9">C130&amp;B130</f>
        <v>6338IMCT</v>
      </c>
      <c r="AD130" s="39">
        <f t="shared" si="8"/>
        <v>0</v>
      </c>
    </row>
    <row r="131" spans="1:30" ht="15" customHeight="1" x14ac:dyDescent="0.25">
      <c r="A131" s="2">
        <v>6417</v>
      </c>
      <c r="B131" s="33" t="s">
        <v>26</v>
      </c>
      <c r="C131" s="34">
        <v>6417</v>
      </c>
      <c r="D131" s="35" t="s">
        <v>180</v>
      </c>
      <c r="E131" s="17">
        <v>465.55</v>
      </c>
      <c r="F131" s="36">
        <v>0</v>
      </c>
      <c r="G131" s="19">
        <v>0</v>
      </c>
      <c r="H131" s="19">
        <v>36</v>
      </c>
      <c r="I131" s="37">
        <v>48</v>
      </c>
      <c r="J131" s="37">
        <v>60</v>
      </c>
      <c r="K131" s="37">
        <v>42</v>
      </c>
      <c r="L131" s="37">
        <v>24</v>
      </c>
      <c r="M131" s="37">
        <v>30</v>
      </c>
      <c r="N131" s="37">
        <v>54</v>
      </c>
      <c r="O131" s="37">
        <v>24</v>
      </c>
      <c r="P131" s="37">
        <v>18</v>
      </c>
      <c r="Q131" s="53">
        <f>'[3]Forecast (pcs.)'!Q131</f>
        <v>24</v>
      </c>
      <c r="R131" s="53">
        <f>'[3]Forecast (pcs.)'!R131</f>
        <v>60</v>
      </c>
      <c r="S131" s="53">
        <f>'[3]Forecast (pcs.)'!S131</f>
        <v>48</v>
      </c>
      <c r="T131" s="53">
        <f>'[3]Forecast (pcs.)'!T131</f>
        <v>36</v>
      </c>
      <c r="U131" s="53">
        <f>'[3]Forecast (pcs.)'!U131</f>
        <v>48</v>
      </c>
      <c r="V131" s="53">
        <f>'[3]Forecast (pcs.)'!V131</f>
        <v>24</v>
      </c>
      <c r="W131" s="53">
        <f>'[3]Forecast (pcs.)'!W131</f>
        <v>12</v>
      </c>
      <c r="X131" s="53">
        <f>'[3]Forecast (pcs.)'!X131</f>
        <v>36</v>
      </c>
      <c r="Y131" s="53">
        <f>'[3]Forecast (pcs.)'!Y131</f>
        <v>12</v>
      </c>
      <c r="Z131" s="53">
        <f>'[3]Forecast (pcs.)'!Z131</f>
        <v>36</v>
      </c>
      <c r="AA131" s="53">
        <f>'[3]Forecast (pcs.)'!AA131</f>
        <v>18</v>
      </c>
      <c r="AB131" s="53">
        <f>'[3]Forecast (pcs.)'!AB131</f>
        <v>36</v>
      </c>
      <c r="AC131" s="38" t="str">
        <f t="shared" si="9"/>
        <v>6417IMCT</v>
      </c>
      <c r="AD131" s="39">
        <f t="shared" si="8"/>
        <v>32.5</v>
      </c>
    </row>
    <row r="132" spans="1:30" ht="15" customHeight="1" x14ac:dyDescent="0.25">
      <c r="A132" s="2">
        <v>6428</v>
      </c>
      <c r="B132" s="33" t="s">
        <v>26</v>
      </c>
      <c r="C132" s="34">
        <v>6428</v>
      </c>
      <c r="D132" s="35" t="s">
        <v>181</v>
      </c>
      <c r="E132" s="17">
        <v>274.7</v>
      </c>
      <c r="F132" s="36">
        <v>0</v>
      </c>
      <c r="G132" s="19">
        <v>0</v>
      </c>
      <c r="H132" s="19">
        <v>0</v>
      </c>
      <c r="I132" s="37">
        <v>0</v>
      </c>
      <c r="J132" s="37">
        <v>0</v>
      </c>
      <c r="K132" s="37">
        <v>0</v>
      </c>
      <c r="L132" s="37">
        <v>0</v>
      </c>
      <c r="M132" s="37">
        <v>0</v>
      </c>
      <c r="N132" s="37">
        <v>0</v>
      </c>
      <c r="O132" s="37">
        <v>0</v>
      </c>
      <c r="P132" s="37">
        <v>0</v>
      </c>
      <c r="Q132" s="53">
        <f>'[3]Forecast (pcs.)'!Q132</f>
        <v>0</v>
      </c>
      <c r="R132" s="53">
        <f>'[3]Forecast (pcs.)'!R132</f>
        <v>0</v>
      </c>
      <c r="S132" s="53">
        <f>'[3]Forecast (pcs.)'!S132</f>
        <v>0</v>
      </c>
      <c r="T132" s="53">
        <f>'[3]Forecast (pcs.)'!T132</f>
        <v>12</v>
      </c>
      <c r="U132" s="53">
        <f>'[3]Forecast (pcs.)'!U132</f>
        <v>0</v>
      </c>
      <c r="V132" s="53">
        <f>'[3]Forecast (pcs.)'!V132</f>
        <v>0</v>
      </c>
      <c r="W132" s="53">
        <f>'[3]Forecast (pcs.)'!W132</f>
        <v>0</v>
      </c>
      <c r="X132" s="53">
        <f>'[3]Forecast (pcs.)'!X132</f>
        <v>0</v>
      </c>
      <c r="Y132" s="53">
        <f>'[3]Forecast (pcs.)'!Y132</f>
        <v>0</v>
      </c>
      <c r="Z132" s="53">
        <f>'[3]Forecast (pcs.)'!Z132</f>
        <v>0</v>
      </c>
      <c r="AA132" s="53">
        <f>'[3]Forecast (pcs.)'!AA132</f>
        <v>0</v>
      </c>
      <c r="AB132" s="53">
        <f>'[3]Forecast (pcs.)'!AB132</f>
        <v>12</v>
      </c>
      <c r="AC132" s="38" t="str">
        <f t="shared" si="9"/>
        <v>6428IMCT</v>
      </c>
      <c r="AD132" s="39">
        <f t="shared" si="8"/>
        <v>2</v>
      </c>
    </row>
    <row r="133" spans="1:30" ht="15" customHeight="1" x14ac:dyDescent="0.25">
      <c r="A133" s="2">
        <v>6320</v>
      </c>
      <c r="B133" s="15" t="s">
        <v>26</v>
      </c>
      <c r="C133" s="20">
        <v>6320</v>
      </c>
      <c r="D133" s="16" t="s">
        <v>25</v>
      </c>
      <c r="E133" s="17">
        <v>164.28</v>
      </c>
      <c r="F133" s="18">
        <v>1001</v>
      </c>
      <c r="G133" s="21">
        <v>1380</v>
      </c>
      <c r="H133" s="6">
        <v>1088</v>
      </c>
      <c r="I133" s="22">
        <v>517</v>
      </c>
      <c r="J133" s="22">
        <v>349</v>
      </c>
      <c r="K133" s="22">
        <v>420</v>
      </c>
      <c r="L133" s="22">
        <v>304</v>
      </c>
      <c r="M133" s="22">
        <v>299</v>
      </c>
      <c r="N133" s="22">
        <v>177</v>
      </c>
      <c r="O133" s="22">
        <v>417</v>
      </c>
      <c r="P133" s="22">
        <v>361</v>
      </c>
      <c r="Q133" s="53">
        <f>'[3]Forecast (pcs.)'!Q133</f>
        <v>598</v>
      </c>
      <c r="R133" s="53">
        <f>'[3]Forecast (pcs.)'!R133</f>
        <v>97</v>
      </c>
      <c r="S133" s="53">
        <f>'[3]Forecast (pcs.)'!S133</f>
        <v>150</v>
      </c>
      <c r="T133" s="53">
        <f>'[3]Forecast (pcs.)'!T133</f>
        <v>405</v>
      </c>
      <c r="U133" s="53">
        <f>'[3]Forecast (pcs.)'!U133</f>
        <v>72</v>
      </c>
      <c r="V133" s="53">
        <f>'[3]Forecast (pcs.)'!V133</f>
        <v>373</v>
      </c>
      <c r="W133" s="53">
        <f>'[3]Forecast (pcs.)'!W133</f>
        <v>240</v>
      </c>
      <c r="X133" s="53">
        <f>'[3]Forecast (pcs.)'!X133</f>
        <v>210</v>
      </c>
      <c r="Y133" s="53">
        <f>'[3]Forecast (pcs.)'!Y133</f>
        <v>150</v>
      </c>
      <c r="Z133" s="53">
        <f>'[3]Forecast (pcs.)'!Z133</f>
        <v>210</v>
      </c>
      <c r="AA133" s="53">
        <f>'[3]Forecast (pcs.)'!AA133</f>
        <v>480</v>
      </c>
      <c r="AB133" s="53">
        <f>'[3]Forecast (pcs.)'!AB133</f>
        <v>390</v>
      </c>
      <c r="AC133" t="str">
        <f t="shared" si="9"/>
        <v>6320IMCT</v>
      </c>
      <c r="AD133" s="6">
        <f t="shared" si="8"/>
        <v>281.25</v>
      </c>
    </row>
    <row r="134" spans="1:30" ht="15" customHeight="1" x14ac:dyDescent="0.25">
      <c r="A134" s="2">
        <v>6321</v>
      </c>
      <c r="B134" s="15" t="s">
        <v>26</v>
      </c>
      <c r="C134" s="20">
        <v>6321</v>
      </c>
      <c r="D134" s="16" t="s">
        <v>201</v>
      </c>
      <c r="E134" s="17">
        <v>46</v>
      </c>
      <c r="F134" s="18">
        <v>1396</v>
      </c>
      <c r="G134" s="21">
        <v>437</v>
      </c>
      <c r="H134" s="6">
        <v>1085</v>
      </c>
      <c r="I134" s="22">
        <v>2707</v>
      </c>
      <c r="J134" s="22">
        <v>2820</v>
      </c>
      <c r="K134" s="22">
        <v>2229</v>
      </c>
      <c r="L134" s="22">
        <v>1745</v>
      </c>
      <c r="M134" s="22">
        <v>1262</v>
      </c>
      <c r="N134" s="22">
        <v>1579</v>
      </c>
      <c r="O134" s="22">
        <v>1021</v>
      </c>
      <c r="P134" s="22">
        <v>2297</v>
      </c>
      <c r="Q134" s="53">
        <f>'[3]Forecast (pcs.)'!Q134</f>
        <v>844</v>
      </c>
      <c r="R134" s="53">
        <f>'[3]Forecast (pcs.)'!R134</f>
        <v>1321</v>
      </c>
      <c r="S134" s="53">
        <f>'[3]Forecast (pcs.)'!S134</f>
        <v>663</v>
      </c>
      <c r="T134" s="53">
        <f>'[3]Forecast (pcs.)'!T134</f>
        <v>1294</v>
      </c>
      <c r="U134" s="53">
        <f>'[3]Forecast (pcs.)'!U134</f>
        <v>1788</v>
      </c>
      <c r="V134" s="53">
        <f>'[3]Forecast (pcs.)'!V134</f>
        <v>675</v>
      </c>
      <c r="W134" s="53">
        <f>'[3]Forecast (pcs.)'!W134</f>
        <v>1035</v>
      </c>
      <c r="X134" s="53">
        <f>'[3]Forecast (pcs.)'!X134</f>
        <v>1260</v>
      </c>
      <c r="Y134" s="53">
        <f>'[3]Forecast (pcs.)'!Y134</f>
        <v>1455</v>
      </c>
      <c r="Z134" s="53">
        <f>'[3]Forecast (pcs.)'!Z134</f>
        <v>1650</v>
      </c>
      <c r="AA134" s="53">
        <f>'[3]Forecast (pcs.)'!AA134</f>
        <v>1485</v>
      </c>
      <c r="AB134" s="53">
        <f>'[3]Forecast (pcs.)'!AB134</f>
        <v>1740</v>
      </c>
      <c r="AC134" t="str">
        <f t="shared" si="9"/>
        <v>6321IMCT</v>
      </c>
      <c r="AD134" s="6">
        <f t="shared" si="8"/>
        <v>1267.5</v>
      </c>
    </row>
    <row r="135" spans="1:30" ht="15" customHeight="1" x14ac:dyDescent="0.25">
      <c r="A135" s="2">
        <v>6313</v>
      </c>
      <c r="B135" s="15" t="s">
        <v>26</v>
      </c>
      <c r="C135" s="20">
        <v>6313</v>
      </c>
      <c r="D135" s="16" t="s">
        <v>328</v>
      </c>
      <c r="E135" s="17">
        <v>79.760000000000005</v>
      </c>
      <c r="F135" s="18">
        <v>0</v>
      </c>
      <c r="G135" s="19"/>
      <c r="H135" s="19"/>
      <c r="I135" s="22">
        <v>0</v>
      </c>
      <c r="J135" s="22">
        <v>0</v>
      </c>
      <c r="K135" s="22">
        <v>0</v>
      </c>
      <c r="L135" s="22">
        <v>1</v>
      </c>
      <c r="M135" s="22">
        <v>2</v>
      </c>
      <c r="N135" s="22">
        <v>0</v>
      </c>
      <c r="O135" s="22">
        <v>0</v>
      </c>
      <c r="P135" s="22">
        <v>0</v>
      </c>
      <c r="Q135" s="53">
        <f>'[3]Forecast (pcs.)'!Q135</f>
        <v>0</v>
      </c>
      <c r="R135" s="53">
        <f>'[3]Forecast (pcs.)'!R135</f>
        <v>0</v>
      </c>
      <c r="S135" s="53">
        <f>'[3]Forecast (pcs.)'!S135</f>
        <v>0</v>
      </c>
      <c r="T135" s="53">
        <f>'[3]Forecast (pcs.)'!T135</f>
        <v>0</v>
      </c>
      <c r="U135" s="53">
        <f>'[3]Forecast (pcs.)'!U135</f>
        <v>0</v>
      </c>
      <c r="V135" s="53">
        <f>'[3]Forecast (pcs.)'!V135</f>
        <v>0</v>
      </c>
      <c r="W135" s="53">
        <f>'[3]Forecast (pcs.)'!W135</f>
        <v>0</v>
      </c>
      <c r="X135" s="53">
        <f>'[3]Forecast (pcs.)'!X135</f>
        <v>0</v>
      </c>
      <c r="Y135" s="53">
        <f>'[3]Forecast (pcs.)'!Y135</f>
        <v>0</v>
      </c>
      <c r="Z135" s="53">
        <f>'[3]Forecast (pcs.)'!Z135</f>
        <v>0</v>
      </c>
      <c r="AA135" s="53">
        <f>'[3]Forecast (pcs.)'!AA135</f>
        <v>0</v>
      </c>
      <c r="AB135" s="53">
        <f>'[3]Forecast (pcs.)'!AB135</f>
        <v>0</v>
      </c>
      <c r="AC135" t="str">
        <f t="shared" si="9"/>
        <v>6313IMCT</v>
      </c>
      <c r="AD135" s="6">
        <f t="shared" si="8"/>
        <v>0</v>
      </c>
    </row>
    <row r="136" spans="1:30" ht="15" customHeight="1" x14ac:dyDescent="0.25">
      <c r="A136" s="2">
        <v>6151</v>
      </c>
      <c r="B136" s="15" t="s">
        <v>43</v>
      </c>
      <c r="C136" s="20">
        <v>6151</v>
      </c>
      <c r="D136" s="16" t="s">
        <v>42</v>
      </c>
      <c r="E136" s="17">
        <v>62.33</v>
      </c>
      <c r="F136" s="18">
        <v>11040</v>
      </c>
      <c r="G136" s="21">
        <v>10632</v>
      </c>
      <c r="H136" s="6">
        <v>10128</v>
      </c>
      <c r="I136" s="22">
        <v>12184</v>
      </c>
      <c r="J136" s="22">
        <v>11664</v>
      </c>
      <c r="K136" s="22">
        <v>9744</v>
      </c>
      <c r="L136" s="22">
        <v>12340</v>
      </c>
      <c r="M136" s="22">
        <v>15072</v>
      </c>
      <c r="N136" s="22">
        <v>7440</v>
      </c>
      <c r="O136" s="22">
        <v>7632</v>
      </c>
      <c r="P136" s="22">
        <v>7632</v>
      </c>
      <c r="Q136" s="53">
        <f>'[3]Forecast (pcs.)'!Q136</f>
        <v>9240</v>
      </c>
      <c r="R136" s="53">
        <f>'[3]Forecast (pcs.)'!R136</f>
        <v>5404</v>
      </c>
      <c r="S136" s="53">
        <f>'[3]Forecast (pcs.)'!S136</f>
        <v>13752</v>
      </c>
      <c r="T136" s="53">
        <f>'[3]Forecast (pcs.)'!T136</f>
        <v>9425</v>
      </c>
      <c r="U136" s="53">
        <f>'[3]Forecast (pcs.)'!U136</f>
        <v>9923</v>
      </c>
      <c r="V136" s="53">
        <f>'[3]Forecast (pcs.)'!V136</f>
        <v>10170.653351439425</v>
      </c>
      <c r="W136" s="53">
        <f>'[3]Forecast (pcs.)'!W136</f>
        <v>10262.059280064334</v>
      </c>
      <c r="X136" s="53">
        <f>'[3]Forecast (pcs.)'!X136</f>
        <v>9859.8159352756265</v>
      </c>
      <c r="Y136" s="53">
        <f>'[3]Forecast (pcs.)'!Y136</f>
        <v>10264.922222020125</v>
      </c>
      <c r="Z136" s="53">
        <f>'[3]Forecast (pcs.)'!Z136</f>
        <v>10359.932854834824</v>
      </c>
      <c r="AA136" s="53">
        <f>'[3]Forecast (pcs.)'!AA136</f>
        <v>10088.79923003182</v>
      </c>
      <c r="AB136" s="53">
        <f>'[3]Forecast (pcs.)'!AB136</f>
        <v>8444.4515904355994</v>
      </c>
      <c r="AD136" s="6">
        <f>AVERAGE(Q136:U136)</f>
        <v>9548.7999999999993</v>
      </c>
    </row>
    <row r="137" spans="1:30" ht="15" customHeight="1" x14ac:dyDescent="0.25">
      <c r="A137" s="2">
        <v>6152</v>
      </c>
      <c r="B137" s="15" t="s">
        <v>43</v>
      </c>
      <c r="C137" s="20">
        <v>6152</v>
      </c>
      <c r="D137" s="16" t="s">
        <v>44</v>
      </c>
      <c r="E137" s="17">
        <v>54.33</v>
      </c>
      <c r="F137" s="18">
        <v>0</v>
      </c>
      <c r="G137" s="21">
        <v>0</v>
      </c>
      <c r="H137" s="6">
        <v>0</v>
      </c>
      <c r="I137" s="22">
        <v>0</v>
      </c>
      <c r="J137" s="22">
        <v>648</v>
      </c>
      <c r="K137" s="22">
        <v>1231</v>
      </c>
      <c r="L137" s="22">
        <v>1854</v>
      </c>
      <c r="M137" s="22">
        <v>396</v>
      </c>
      <c r="N137" s="22">
        <v>864</v>
      </c>
      <c r="O137" s="22">
        <v>738</v>
      </c>
      <c r="P137" s="22">
        <v>738</v>
      </c>
      <c r="Q137" s="53">
        <f>'[3]Forecast (pcs.)'!Q137</f>
        <v>0</v>
      </c>
      <c r="R137" s="53">
        <f>'[3]Forecast (pcs.)'!R137</f>
        <v>18</v>
      </c>
      <c r="S137" s="53">
        <f>'[3]Forecast (pcs.)'!S137</f>
        <v>810</v>
      </c>
      <c r="T137" s="53">
        <f>'[3]Forecast (pcs.)'!T137</f>
        <v>836</v>
      </c>
      <c r="U137" s="53">
        <f>'[3]Forecast (pcs.)'!U137</f>
        <v>585</v>
      </c>
      <c r="V137" s="53">
        <f>'[3]Forecast (pcs.)'!V137</f>
        <v>755.63675161795777</v>
      </c>
      <c r="W137" s="53">
        <f>'[3]Forecast (pcs.)'!W137</f>
        <v>762.42782753000552</v>
      </c>
      <c r="X137" s="53">
        <f>'[3]Forecast (pcs.)'!X137</f>
        <v>732.54283942616235</v>
      </c>
      <c r="Y137" s="53">
        <f>'[3]Forecast (pcs.)'!Y137</f>
        <v>762.6405320716699</v>
      </c>
      <c r="Z137" s="53">
        <f>'[3]Forecast (pcs.)'!Z137</f>
        <v>769.69942233844961</v>
      </c>
      <c r="AA137" s="53">
        <f>'[3]Forecast (pcs.)'!AA137</f>
        <v>749.55533479351845</v>
      </c>
      <c r="AB137" s="53">
        <f>'[3]Forecast (pcs.)'!AB137</f>
        <v>627.38722366235959</v>
      </c>
      <c r="AD137" s="6">
        <f>AVERAGE(Q137:U137)</f>
        <v>449.8</v>
      </c>
    </row>
    <row r="138" spans="1:30" ht="15" customHeight="1" x14ac:dyDescent="0.25">
      <c r="A138" s="2">
        <v>6344</v>
      </c>
      <c r="B138" s="40" t="s">
        <v>329</v>
      </c>
      <c r="C138" s="40">
        <v>6344</v>
      </c>
      <c r="D138" s="41" t="s">
        <v>330</v>
      </c>
      <c r="E138" s="17">
        <v>0</v>
      </c>
      <c r="F138" s="27">
        <v>0</v>
      </c>
      <c r="G138" s="19"/>
      <c r="H138" s="19"/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53">
        <f>'[3]Forecast (pcs.)'!Q138</f>
        <v>0</v>
      </c>
      <c r="R138" s="53">
        <f>'[3]Forecast (pcs.)'!R138</f>
        <v>0</v>
      </c>
      <c r="S138" s="53">
        <f>'[3]Forecast (pcs.)'!S138</f>
        <v>0</v>
      </c>
      <c r="T138" s="53">
        <f>'[3]Forecast (pcs.)'!T138</f>
        <v>0</v>
      </c>
      <c r="U138" s="53">
        <f>'[3]Forecast (pcs.)'!U138</f>
        <v>0</v>
      </c>
      <c r="V138" s="53">
        <f>'[3]Forecast (pcs.)'!V138</f>
        <v>0</v>
      </c>
      <c r="W138" s="53">
        <f>'[3]Forecast (pcs.)'!W138</f>
        <v>0</v>
      </c>
      <c r="X138" s="53">
        <f>'[3]Forecast (pcs.)'!X138</f>
        <v>0</v>
      </c>
      <c r="Y138" s="53">
        <f>'[3]Forecast (pcs.)'!Y138</f>
        <v>0</v>
      </c>
      <c r="Z138" s="53">
        <f>'[3]Forecast (pcs.)'!Z138</f>
        <v>0</v>
      </c>
      <c r="AA138" s="53">
        <f>'[3]Forecast (pcs.)'!AA138</f>
        <v>0</v>
      </c>
      <c r="AB138" s="53">
        <f>'[3]Forecast (pcs.)'!AB138</f>
        <v>0</v>
      </c>
      <c r="AD138" s="6">
        <f>AVERAGE(Q138:U138)</f>
        <v>0</v>
      </c>
    </row>
    <row r="139" spans="1:30" ht="15" customHeight="1" x14ac:dyDescent="0.25">
      <c r="A139" s="2">
        <v>5811</v>
      </c>
      <c r="B139" s="15" t="s">
        <v>73</v>
      </c>
      <c r="C139" s="20">
        <v>5811</v>
      </c>
      <c r="D139" s="16" t="s">
        <v>72</v>
      </c>
      <c r="E139" s="17">
        <v>87.78</v>
      </c>
      <c r="F139" s="18">
        <v>0</v>
      </c>
      <c r="G139" s="18">
        <v>0</v>
      </c>
      <c r="H139" s="18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53">
        <f>'[3]Forecast (pcs.)'!Q139</f>
        <v>0</v>
      </c>
      <c r="R139" s="53">
        <f>'[3]Forecast (pcs.)'!R139</f>
        <v>0</v>
      </c>
      <c r="S139" s="53">
        <f>'[3]Forecast (pcs.)'!S139</f>
        <v>0</v>
      </c>
      <c r="T139" s="53">
        <f>'[3]Forecast (pcs.)'!T139</f>
        <v>0</v>
      </c>
      <c r="U139" s="53">
        <f>'[3]Forecast (pcs.)'!U139</f>
        <v>0</v>
      </c>
      <c r="V139" s="53">
        <f>'[3]Forecast (pcs.)'!V139</f>
        <v>0</v>
      </c>
      <c r="W139" s="53">
        <f>'[3]Forecast (pcs.)'!W139</f>
        <v>0</v>
      </c>
      <c r="X139" s="53">
        <f>'[3]Forecast (pcs.)'!X139</f>
        <v>0</v>
      </c>
      <c r="Y139" s="53">
        <f>'[3]Forecast (pcs.)'!Y139</f>
        <v>0</v>
      </c>
      <c r="Z139" s="53">
        <f>'[3]Forecast (pcs.)'!Z139</f>
        <v>0</v>
      </c>
      <c r="AA139" s="53">
        <f>'[3]Forecast (pcs.)'!AA139</f>
        <v>0</v>
      </c>
      <c r="AB139" s="53">
        <f>'[3]Forecast (pcs.)'!AB139</f>
        <v>0</v>
      </c>
      <c r="AD139" s="6">
        <f>AVERAGE(Q139:U139)</f>
        <v>0</v>
      </c>
    </row>
    <row r="140" spans="1:30" ht="15" customHeight="1" x14ac:dyDescent="0.25">
      <c r="A140" s="2">
        <v>5812</v>
      </c>
      <c r="B140" s="15" t="s">
        <v>73</v>
      </c>
      <c r="C140" s="20">
        <v>5812</v>
      </c>
      <c r="D140" s="16" t="s">
        <v>74</v>
      </c>
      <c r="E140" s="17">
        <v>77.349999999999994</v>
      </c>
      <c r="F140" s="18">
        <v>0</v>
      </c>
      <c r="G140" s="18">
        <v>0</v>
      </c>
      <c r="H140" s="18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53">
        <f>'[3]Forecast (pcs.)'!Q140</f>
        <v>0</v>
      </c>
      <c r="R140" s="53">
        <f>'[3]Forecast (pcs.)'!R140</f>
        <v>0</v>
      </c>
      <c r="S140" s="53">
        <f>'[3]Forecast (pcs.)'!S140</f>
        <v>0</v>
      </c>
      <c r="T140" s="53">
        <f>'[3]Forecast (pcs.)'!T140</f>
        <v>0</v>
      </c>
      <c r="U140" s="53">
        <f>'[3]Forecast (pcs.)'!U140</f>
        <v>0</v>
      </c>
      <c r="V140" s="53">
        <f>'[3]Forecast (pcs.)'!V140</f>
        <v>0</v>
      </c>
      <c r="W140" s="53">
        <f>'[3]Forecast (pcs.)'!W140</f>
        <v>0</v>
      </c>
      <c r="X140" s="53">
        <f>'[3]Forecast (pcs.)'!X140</f>
        <v>0</v>
      </c>
      <c r="Y140" s="53">
        <f>'[3]Forecast (pcs.)'!Y140</f>
        <v>0</v>
      </c>
      <c r="Z140" s="53">
        <f>'[3]Forecast (pcs.)'!Z140</f>
        <v>0</v>
      </c>
      <c r="AA140" s="53">
        <f>'[3]Forecast (pcs.)'!AA140</f>
        <v>0</v>
      </c>
      <c r="AB140" s="53">
        <f>'[3]Forecast (pcs.)'!AB140</f>
        <v>0</v>
      </c>
      <c r="AD140" s="6">
        <f>AVERAGE(Q140:U140)</f>
        <v>0</v>
      </c>
    </row>
    <row r="141" spans="1:30" ht="15" customHeight="1" x14ac:dyDescent="0.25">
      <c r="A141" s="2">
        <v>6163</v>
      </c>
      <c r="B141" s="15" t="s">
        <v>73</v>
      </c>
      <c r="C141" s="20">
        <v>6163</v>
      </c>
      <c r="D141" s="16" t="s">
        <v>75</v>
      </c>
      <c r="E141" s="17">
        <v>141.91999999999999</v>
      </c>
      <c r="F141" s="18">
        <v>0</v>
      </c>
      <c r="G141" s="18">
        <v>0</v>
      </c>
      <c r="H141" s="18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737</v>
      </c>
      <c r="O141" s="22">
        <v>383</v>
      </c>
      <c r="P141" s="22">
        <v>2400</v>
      </c>
      <c r="Q141" s="53">
        <f>'[3]Forecast (pcs.)'!Q141</f>
        <v>0</v>
      </c>
      <c r="R141" s="53">
        <f>'[3]Forecast (pcs.)'!R141</f>
        <v>0</v>
      </c>
      <c r="S141" s="53">
        <f>'[3]Forecast (pcs.)'!S141</f>
        <v>0</v>
      </c>
      <c r="T141" s="53">
        <f>'[3]Forecast (pcs.)'!T141</f>
        <v>0</v>
      </c>
      <c r="U141" s="53">
        <f>'[3]Forecast (pcs.)'!U141</f>
        <v>0</v>
      </c>
      <c r="V141" s="53">
        <f>'[3]Forecast (pcs.)'!V141</f>
        <v>0</v>
      </c>
      <c r="W141" s="53">
        <f>'[3]Forecast (pcs.)'!W141</f>
        <v>0</v>
      </c>
      <c r="X141" s="53">
        <f>'[3]Forecast (pcs.)'!X141</f>
        <v>0</v>
      </c>
      <c r="Y141" s="53">
        <f>'[3]Forecast (pcs.)'!Y141</f>
        <v>0</v>
      </c>
      <c r="Z141" s="53">
        <f>'[3]Forecast (pcs.)'!Z141</f>
        <v>0</v>
      </c>
      <c r="AA141" s="53">
        <f>'[3]Forecast (pcs.)'!AA141</f>
        <v>0</v>
      </c>
      <c r="AB141" s="53">
        <f>'[3]Forecast (pcs.)'!AB141</f>
        <v>0</v>
      </c>
      <c r="AD141" s="6">
        <f>AVERAGE(Q141:Z141)</f>
        <v>0</v>
      </c>
    </row>
    <row r="142" spans="1:30" ht="15" customHeight="1" x14ac:dyDescent="0.25">
      <c r="A142" s="2">
        <v>6416</v>
      </c>
      <c r="B142" s="15" t="s">
        <v>73</v>
      </c>
      <c r="C142" s="20">
        <v>6416</v>
      </c>
      <c r="D142" s="16" t="s">
        <v>331</v>
      </c>
      <c r="E142" s="17">
        <v>106.34</v>
      </c>
      <c r="F142" s="18">
        <v>0</v>
      </c>
      <c r="G142" s="18">
        <v>0</v>
      </c>
      <c r="H142" s="18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53">
        <f>'[3]Forecast (pcs.)'!Q142</f>
        <v>0</v>
      </c>
      <c r="R142" s="53">
        <f>'[3]Forecast (pcs.)'!R142</f>
        <v>0</v>
      </c>
      <c r="S142" s="53">
        <f>'[3]Forecast (pcs.)'!S142</f>
        <v>0</v>
      </c>
      <c r="T142" s="53">
        <f>'[3]Forecast (pcs.)'!T142</f>
        <v>0</v>
      </c>
      <c r="U142" s="53">
        <f>'[3]Forecast (pcs.)'!U142</f>
        <v>0</v>
      </c>
      <c r="V142" s="53">
        <f>'[3]Forecast (pcs.)'!V142</f>
        <v>0</v>
      </c>
      <c r="W142" s="53">
        <f>'[3]Forecast (pcs.)'!W142</f>
        <v>0</v>
      </c>
      <c r="X142" s="53">
        <f>'[3]Forecast (pcs.)'!X142</f>
        <v>0</v>
      </c>
      <c r="Y142" s="53">
        <f>'[3]Forecast (pcs.)'!Y142</f>
        <v>0</v>
      </c>
      <c r="Z142" s="53">
        <f>'[3]Forecast (pcs.)'!Z142</f>
        <v>0</v>
      </c>
      <c r="AA142" s="53">
        <f>'[3]Forecast (pcs.)'!AA142</f>
        <v>0</v>
      </c>
      <c r="AB142" s="53">
        <f>'[3]Forecast (pcs.)'!AB142</f>
        <v>0</v>
      </c>
      <c r="AD142" s="6">
        <f>AVERAGE(Q142:U142)</f>
        <v>0</v>
      </c>
    </row>
    <row r="143" spans="1:30" ht="15" customHeight="1" x14ac:dyDescent="0.25">
      <c r="A143" s="2" t="s">
        <v>332</v>
      </c>
      <c r="B143" s="40" t="s">
        <v>73</v>
      </c>
      <c r="C143" s="40" t="s">
        <v>332</v>
      </c>
      <c r="D143" s="41" t="s">
        <v>75</v>
      </c>
      <c r="E143" s="17">
        <v>0</v>
      </c>
      <c r="F143" s="27">
        <v>0</v>
      </c>
      <c r="G143" s="19"/>
      <c r="H143" s="19"/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53">
        <f>'[3]Forecast (pcs.)'!Q143</f>
        <v>0</v>
      </c>
      <c r="R143" s="53">
        <f>'[3]Forecast (pcs.)'!R143</f>
        <v>0</v>
      </c>
      <c r="S143" s="53">
        <f>'[3]Forecast (pcs.)'!S143</f>
        <v>0</v>
      </c>
      <c r="T143" s="53">
        <f>'[3]Forecast (pcs.)'!T143</f>
        <v>0</v>
      </c>
      <c r="U143" s="53">
        <f>'[3]Forecast (pcs.)'!U143</f>
        <v>0</v>
      </c>
      <c r="V143" s="53">
        <f>'[3]Forecast (pcs.)'!V143</f>
        <v>0</v>
      </c>
      <c r="W143" s="53">
        <f>'[3]Forecast (pcs.)'!W143</f>
        <v>0</v>
      </c>
      <c r="X143" s="53">
        <f>'[3]Forecast (pcs.)'!X143</f>
        <v>0</v>
      </c>
      <c r="Y143" s="53">
        <f>'[3]Forecast (pcs.)'!Y143</f>
        <v>0</v>
      </c>
      <c r="Z143" s="53">
        <f>'[3]Forecast (pcs.)'!Z143</f>
        <v>0</v>
      </c>
      <c r="AA143" s="53">
        <f>'[3]Forecast (pcs.)'!AA143</f>
        <v>0</v>
      </c>
      <c r="AB143" s="53">
        <f>'[3]Forecast (pcs.)'!AB143</f>
        <v>0</v>
      </c>
      <c r="AD143" s="6">
        <f>AVERAGE(Q143:U143)</f>
        <v>0</v>
      </c>
    </row>
    <row r="144" spans="1:30" ht="15" customHeight="1" x14ac:dyDescent="0.25">
      <c r="A144" s="2">
        <v>6345</v>
      </c>
      <c r="B144" s="15" t="s">
        <v>333</v>
      </c>
      <c r="C144" s="20">
        <v>6345</v>
      </c>
      <c r="D144" s="16" t="s">
        <v>334</v>
      </c>
      <c r="E144" s="17">
        <v>21</v>
      </c>
      <c r="F144" s="18">
        <v>0</v>
      </c>
      <c r="G144" s="21">
        <v>0</v>
      </c>
      <c r="H144" s="42">
        <v>3531</v>
      </c>
      <c r="I144" s="22">
        <v>0</v>
      </c>
      <c r="J144" s="22">
        <v>7400</v>
      </c>
      <c r="K144" s="22">
        <v>2771</v>
      </c>
      <c r="L144" s="22">
        <v>300</v>
      </c>
      <c r="M144" s="22">
        <v>5245</v>
      </c>
      <c r="N144" s="22">
        <v>2600</v>
      </c>
      <c r="O144" s="22">
        <v>0</v>
      </c>
      <c r="P144" s="22">
        <v>8042</v>
      </c>
      <c r="Q144" s="53">
        <f>'[3]Forecast (pcs.)'!Q144</f>
        <v>0</v>
      </c>
      <c r="R144" s="53">
        <f>'[3]Forecast (pcs.)'!R144</f>
        <v>0</v>
      </c>
      <c r="S144" s="53">
        <f>'[3]Forecast (pcs.)'!S144</f>
        <v>5171.6623853024284</v>
      </c>
      <c r="T144" s="53">
        <f>'[3]Forecast (pcs.)'!T144</f>
        <v>4042.9671092318131</v>
      </c>
      <c r="U144" s="53">
        <f>'[3]Forecast (pcs.)'!U144</f>
        <v>5141.2667330582735</v>
      </c>
      <c r="V144" s="53">
        <f>'[3]Forecast (pcs.)'!V144</f>
        <v>5120.9438839390932</v>
      </c>
      <c r="W144" s="53">
        <f>'[3]Forecast (pcs.)'!W144</f>
        <v>5166.9669480405992</v>
      </c>
      <c r="X144" s="53">
        <f>'[3]Forecast (pcs.)'!X144</f>
        <v>4964.4366360563254</v>
      </c>
      <c r="Y144" s="53">
        <f>'[3]Forecast (pcs.)'!Y144</f>
        <v>5168.4084449230495</v>
      </c>
      <c r="Z144" s="53">
        <f>'[3]Forecast (pcs.)'!Z144</f>
        <v>5216.246484644731</v>
      </c>
      <c r="AA144" s="53">
        <f>'[3]Forecast (pcs.)'!AA144</f>
        <v>5079.7301734808407</v>
      </c>
      <c r="AB144" s="53">
        <f>'[3]Forecast (pcs.)'!AB144</f>
        <v>4251.7979161231351</v>
      </c>
      <c r="AD144" s="6">
        <f>AVERAGE(Q144:U144)</f>
        <v>2871.1792455185032</v>
      </c>
    </row>
    <row r="145" spans="1:30" ht="15" customHeight="1" x14ac:dyDescent="0.25">
      <c r="A145" s="2">
        <v>5316</v>
      </c>
      <c r="B145" s="15" t="s">
        <v>335</v>
      </c>
      <c r="C145" s="15">
        <v>5316</v>
      </c>
      <c r="D145" s="16" t="s">
        <v>336</v>
      </c>
      <c r="E145" s="17">
        <v>34.71</v>
      </c>
      <c r="F145" s="18">
        <v>0</v>
      </c>
      <c r="G145" s="19"/>
      <c r="H145" s="19"/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53">
        <f>'[3]Forecast (pcs.)'!Q145</f>
        <v>0</v>
      </c>
      <c r="R145" s="53">
        <f>'[3]Forecast (pcs.)'!R145</f>
        <v>0</v>
      </c>
      <c r="S145" s="53">
        <f>'[3]Forecast (pcs.)'!S145</f>
        <v>0</v>
      </c>
      <c r="T145" s="53">
        <f>'[3]Forecast (pcs.)'!T145</f>
        <v>0</v>
      </c>
      <c r="U145" s="53">
        <f>'[3]Forecast (pcs.)'!U145</f>
        <v>0</v>
      </c>
      <c r="V145" s="53">
        <f>'[3]Forecast (pcs.)'!V145</f>
        <v>0</v>
      </c>
      <c r="W145" s="53">
        <f>'[3]Forecast (pcs.)'!W145</f>
        <v>0</v>
      </c>
      <c r="X145" s="53">
        <f>'[3]Forecast (pcs.)'!X145</f>
        <v>0</v>
      </c>
      <c r="Y145" s="53">
        <f>'[3]Forecast (pcs.)'!Y145</f>
        <v>0</v>
      </c>
      <c r="Z145" s="53">
        <f>'[3]Forecast (pcs.)'!Z145</f>
        <v>0</v>
      </c>
      <c r="AA145" s="53">
        <f>'[3]Forecast (pcs.)'!AA145</f>
        <v>0</v>
      </c>
      <c r="AB145" s="53">
        <f>'[3]Forecast (pcs.)'!AB145</f>
        <v>0</v>
      </c>
      <c r="AD145" s="6">
        <f>AVERAGE(Q145:U145)</f>
        <v>0</v>
      </c>
    </row>
    <row r="146" spans="1:30" ht="15" customHeight="1" x14ac:dyDescent="0.25">
      <c r="A146" s="2">
        <v>6083</v>
      </c>
      <c r="B146" s="15" t="s">
        <v>337</v>
      </c>
      <c r="C146" s="15">
        <v>6083</v>
      </c>
      <c r="D146" s="16" t="s">
        <v>338</v>
      </c>
      <c r="E146" s="17">
        <v>79.7</v>
      </c>
      <c r="F146" s="18">
        <v>0</v>
      </c>
      <c r="G146" s="19"/>
      <c r="H146" s="19"/>
      <c r="I146" s="22">
        <v>0</v>
      </c>
      <c r="J146" s="22">
        <v>0</v>
      </c>
      <c r="K146" s="22">
        <v>107</v>
      </c>
      <c r="L146" s="22">
        <v>0</v>
      </c>
      <c r="M146" s="22">
        <v>0</v>
      </c>
      <c r="N146" s="22">
        <v>2440</v>
      </c>
      <c r="O146" s="22">
        <v>0</v>
      </c>
      <c r="P146" s="22">
        <v>0</v>
      </c>
      <c r="Q146" s="53">
        <f>'[3]Forecast (pcs.)'!Q146</f>
        <v>0</v>
      </c>
      <c r="R146" s="53">
        <f>'[3]Forecast (pcs.)'!R146</f>
        <v>0</v>
      </c>
      <c r="S146" s="53">
        <f>'[3]Forecast (pcs.)'!S146</f>
        <v>0</v>
      </c>
      <c r="T146" s="53">
        <f>'[3]Forecast (pcs.)'!T146</f>
        <v>0</v>
      </c>
      <c r="U146" s="53">
        <f>'[3]Forecast (pcs.)'!U146</f>
        <v>0</v>
      </c>
      <c r="V146" s="53">
        <f>'[3]Forecast (pcs.)'!V146</f>
        <v>0</v>
      </c>
      <c r="W146" s="53">
        <f>'[3]Forecast (pcs.)'!W146</f>
        <v>0</v>
      </c>
      <c r="X146" s="53">
        <f>'[3]Forecast (pcs.)'!X146</f>
        <v>0</v>
      </c>
      <c r="Y146" s="53">
        <f>'[3]Forecast (pcs.)'!Y146</f>
        <v>0</v>
      </c>
      <c r="Z146" s="53">
        <f>'[3]Forecast (pcs.)'!Z146</f>
        <v>0</v>
      </c>
      <c r="AA146" s="53">
        <f>'[3]Forecast (pcs.)'!AA146</f>
        <v>0</v>
      </c>
      <c r="AB146" s="53">
        <f>'[3]Forecast (pcs.)'!AB146</f>
        <v>0</v>
      </c>
      <c r="AD146" s="6">
        <f>AVERAGE(Q146:AB146)</f>
        <v>0</v>
      </c>
    </row>
    <row r="147" spans="1:30" ht="15" customHeight="1" x14ac:dyDescent="0.25">
      <c r="A147" s="2">
        <v>6111</v>
      </c>
      <c r="B147" s="15" t="s">
        <v>337</v>
      </c>
      <c r="C147" s="15">
        <v>6111</v>
      </c>
      <c r="D147" s="16" t="s">
        <v>339</v>
      </c>
      <c r="E147" s="17">
        <v>51.76</v>
      </c>
      <c r="F147" s="18">
        <v>0</v>
      </c>
      <c r="G147" s="19"/>
      <c r="H147" s="19"/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53">
        <f>'[3]Forecast (pcs.)'!Q147</f>
        <v>0</v>
      </c>
      <c r="R147" s="53">
        <f>'[3]Forecast (pcs.)'!R147</f>
        <v>0</v>
      </c>
      <c r="S147" s="53">
        <f>'[3]Forecast (pcs.)'!S147</f>
        <v>0</v>
      </c>
      <c r="T147" s="53">
        <f>'[3]Forecast (pcs.)'!T147</f>
        <v>0</v>
      </c>
      <c r="U147" s="53">
        <f>'[3]Forecast (pcs.)'!U147</f>
        <v>0</v>
      </c>
      <c r="V147" s="53">
        <f>'[3]Forecast (pcs.)'!V147</f>
        <v>0</v>
      </c>
      <c r="W147" s="53">
        <f>'[3]Forecast (pcs.)'!W147</f>
        <v>0</v>
      </c>
      <c r="X147" s="53">
        <f>'[3]Forecast (pcs.)'!X147</f>
        <v>0</v>
      </c>
      <c r="Y147" s="53">
        <f>'[3]Forecast (pcs.)'!Y147</f>
        <v>0</v>
      </c>
      <c r="Z147" s="53">
        <f>'[3]Forecast (pcs.)'!Z147</f>
        <v>0</v>
      </c>
      <c r="AA147" s="53">
        <f>'[3]Forecast (pcs.)'!AA147</f>
        <v>0</v>
      </c>
      <c r="AB147" s="53">
        <f>'[3]Forecast (pcs.)'!AB147</f>
        <v>0</v>
      </c>
      <c r="AD147" s="6">
        <f>AVERAGE(Q147:AB147)</f>
        <v>0</v>
      </c>
    </row>
    <row r="148" spans="1:30" ht="15" customHeight="1" x14ac:dyDescent="0.25">
      <c r="A148" s="2">
        <v>5534</v>
      </c>
      <c r="B148" s="15" t="s">
        <v>186</v>
      </c>
      <c r="C148" s="15">
        <v>5534</v>
      </c>
      <c r="D148" s="16" t="s">
        <v>185</v>
      </c>
      <c r="E148" s="17">
        <v>1000</v>
      </c>
      <c r="F148" s="18">
        <v>1190</v>
      </c>
      <c r="G148" s="21">
        <v>684</v>
      </c>
      <c r="H148" s="6">
        <v>380</v>
      </c>
      <c r="I148" s="22">
        <v>520</v>
      </c>
      <c r="J148" s="22">
        <v>240</v>
      </c>
      <c r="K148" s="22">
        <v>266</v>
      </c>
      <c r="L148" s="22">
        <v>160</v>
      </c>
      <c r="M148" s="22">
        <v>0</v>
      </c>
      <c r="N148" s="22">
        <v>340</v>
      </c>
      <c r="O148" s="22">
        <v>672</v>
      </c>
      <c r="P148" s="22">
        <v>400</v>
      </c>
      <c r="Q148" s="53">
        <f>'[3]Forecast (pcs.)'!Q148</f>
        <v>210</v>
      </c>
      <c r="R148" s="53">
        <f>'[3]Forecast (pcs.)'!R148</f>
        <v>396</v>
      </c>
      <c r="S148" s="53">
        <f>'[3]Forecast (pcs.)'!S148</f>
        <v>674</v>
      </c>
      <c r="T148" s="53">
        <f>'[3]Forecast (pcs.)'!T148</f>
        <v>277.79228369258669</v>
      </c>
      <c r="U148" s="53">
        <f>'[3]Forecast (pcs.)'!U148</f>
        <v>353.2564545449269</v>
      </c>
      <c r="V148" s="53">
        <f>'[3]Forecast (pcs.)'!V148</f>
        <v>351.86007151349781</v>
      </c>
      <c r="W148" s="53">
        <f>'[3]Forecast (pcs.)'!W148</f>
        <v>355.02231640292433</v>
      </c>
      <c r="X148" s="53">
        <f>'[3]Forecast (pcs.)'!X148</f>
        <v>341.1064579843349</v>
      </c>
      <c r="Y148" s="53">
        <f>'[3]Forecast (pcs.)'!Y148</f>
        <v>355.12136165857265</v>
      </c>
      <c r="Z148" s="53">
        <f>'[3]Forecast (pcs.)'!Z148</f>
        <v>358.40831352897447</v>
      </c>
      <c r="AA148" s="53">
        <f>'[3]Forecast (pcs.)'!AA148</f>
        <v>349.02827732909788</v>
      </c>
      <c r="AB148" s="53">
        <f>'[3]Forecast (pcs.)'!AB148</f>
        <v>292.1410491374603</v>
      </c>
      <c r="AD148" s="6">
        <f>AVERAGE(Q148:AB148)</f>
        <v>359.47804881603133</v>
      </c>
    </row>
    <row r="149" spans="1:30" ht="15" customHeight="1" x14ac:dyDescent="0.25">
      <c r="A149" s="2">
        <v>5829</v>
      </c>
      <c r="B149" s="15" t="s">
        <v>186</v>
      </c>
      <c r="C149" s="15">
        <v>5829</v>
      </c>
      <c r="D149" s="16" t="s">
        <v>187</v>
      </c>
      <c r="E149" s="17">
        <v>1300</v>
      </c>
      <c r="F149" s="18">
        <v>150</v>
      </c>
      <c r="G149" s="21">
        <v>98</v>
      </c>
      <c r="H149" s="6">
        <v>100</v>
      </c>
      <c r="I149" s="22">
        <v>402</v>
      </c>
      <c r="J149" s="22">
        <v>296</v>
      </c>
      <c r="K149" s="22">
        <v>200</v>
      </c>
      <c r="L149" s="22">
        <v>200</v>
      </c>
      <c r="M149" s="22">
        <v>0</v>
      </c>
      <c r="N149" s="22">
        <v>132</v>
      </c>
      <c r="O149" s="22">
        <v>140</v>
      </c>
      <c r="P149" s="22">
        <v>250</v>
      </c>
      <c r="Q149" s="53">
        <f>'[3]Forecast (pcs.)'!Q149</f>
        <v>0</v>
      </c>
      <c r="R149" s="53">
        <f>'[3]Forecast (pcs.)'!R149</f>
        <v>200</v>
      </c>
      <c r="S149" s="53">
        <f>'[3]Forecast (pcs.)'!S149</f>
        <v>288</v>
      </c>
      <c r="T149" s="53">
        <f>'[3]Forecast (pcs.)'!T149</f>
        <v>133.17688894674009</v>
      </c>
      <c r="U149" s="53">
        <f>'[3]Forecast (pcs.)'!U149</f>
        <v>169.35530026712672</v>
      </c>
      <c r="V149" s="53">
        <f>'[3]Forecast (pcs.)'!V149</f>
        <v>168.68585781382396</v>
      </c>
      <c r="W149" s="53">
        <f>'[3]Forecast (pcs.)'!W149</f>
        <v>170.20187521669607</v>
      </c>
      <c r="X149" s="53">
        <f>'[3]Forecast (pcs.)'!X149</f>
        <v>163.53044897484293</v>
      </c>
      <c r="Y149" s="53">
        <f>'[3]Forecast (pcs.)'!Y149</f>
        <v>170.24935867749218</v>
      </c>
      <c r="Z149" s="53">
        <f>'[3]Forecast (pcs.)'!Z149</f>
        <v>171.82516207418482</v>
      </c>
      <c r="AA149" s="53">
        <f>'[3]Forecast (pcs.)'!AA149</f>
        <v>167.3282623665969</v>
      </c>
      <c r="AB149" s="53">
        <f>'[3]Forecast (pcs.)'!AB149</f>
        <v>140.05585591001775</v>
      </c>
      <c r="AD149" s="6">
        <f t="shared" ref="AD149:AD157" si="10">AVERAGE(Q149:S149)</f>
        <v>162.66666666666666</v>
      </c>
    </row>
    <row r="150" spans="1:30" ht="15" customHeight="1" x14ac:dyDescent="0.25">
      <c r="A150" s="2">
        <v>5830</v>
      </c>
      <c r="B150" s="15" t="s">
        <v>186</v>
      </c>
      <c r="C150" s="15">
        <v>5830</v>
      </c>
      <c r="D150" s="16" t="s">
        <v>188</v>
      </c>
      <c r="E150" s="17">
        <v>1200</v>
      </c>
      <c r="F150" s="18">
        <v>46</v>
      </c>
      <c r="G150" s="32">
        <v>146</v>
      </c>
      <c r="H150" s="18">
        <v>50</v>
      </c>
      <c r="I150" s="22">
        <v>50</v>
      </c>
      <c r="J150" s="22">
        <v>50</v>
      </c>
      <c r="K150" s="22">
        <v>92</v>
      </c>
      <c r="L150" s="22">
        <v>80</v>
      </c>
      <c r="M150" s="22">
        <v>0</v>
      </c>
      <c r="N150" s="22">
        <v>58</v>
      </c>
      <c r="O150" s="22">
        <v>0</v>
      </c>
      <c r="P150" s="22">
        <v>150</v>
      </c>
      <c r="Q150" s="53">
        <f>'[3]Forecast (pcs.)'!Q150</f>
        <v>0</v>
      </c>
      <c r="R150" s="53">
        <f>'[3]Forecast (pcs.)'!R150</f>
        <v>0</v>
      </c>
      <c r="S150" s="53">
        <f>'[3]Forecast (pcs.)'!S150</f>
        <v>0</v>
      </c>
      <c r="T150" s="53">
        <f>'[3]Forecast (pcs.)'!T150</f>
        <v>0</v>
      </c>
      <c r="U150" s="53">
        <f>'[3]Forecast (pcs.)'!U150</f>
        <v>0</v>
      </c>
      <c r="V150" s="53">
        <f>'[3]Forecast (pcs.)'!V150</f>
        <v>0</v>
      </c>
      <c r="W150" s="53">
        <f>'[3]Forecast (pcs.)'!W150</f>
        <v>0</v>
      </c>
      <c r="X150" s="53">
        <f>'[3]Forecast (pcs.)'!X150</f>
        <v>0</v>
      </c>
      <c r="Y150" s="53">
        <f>'[3]Forecast (pcs.)'!Y150</f>
        <v>0</v>
      </c>
      <c r="Z150" s="53">
        <f>'[3]Forecast (pcs.)'!Z150</f>
        <v>0</v>
      </c>
      <c r="AA150" s="53">
        <f>'[3]Forecast (pcs.)'!AA150</f>
        <v>0</v>
      </c>
      <c r="AB150" s="53">
        <f>'[3]Forecast (pcs.)'!AB150</f>
        <v>0</v>
      </c>
      <c r="AD150" s="6">
        <f t="shared" si="10"/>
        <v>0</v>
      </c>
    </row>
    <row r="151" spans="1:30" ht="15" customHeight="1" x14ac:dyDescent="0.25">
      <c r="A151" s="2">
        <v>5831</v>
      </c>
      <c r="B151" s="15" t="s">
        <v>186</v>
      </c>
      <c r="C151" s="15">
        <v>5831</v>
      </c>
      <c r="D151" s="16" t="s">
        <v>189</v>
      </c>
      <c r="E151" s="17">
        <v>1300</v>
      </c>
      <c r="F151" s="18">
        <v>10</v>
      </c>
      <c r="G151" s="21">
        <v>48</v>
      </c>
      <c r="H151" s="6">
        <v>50</v>
      </c>
      <c r="I151" s="22">
        <v>78</v>
      </c>
      <c r="J151" s="22">
        <v>68</v>
      </c>
      <c r="K151" s="22">
        <v>0</v>
      </c>
      <c r="L151" s="22">
        <v>90</v>
      </c>
      <c r="M151" s="22">
        <v>0</v>
      </c>
      <c r="N151" s="22">
        <v>0</v>
      </c>
      <c r="O151" s="22">
        <v>48</v>
      </c>
      <c r="P151" s="22">
        <v>50</v>
      </c>
      <c r="Q151" s="53">
        <f>'[3]Forecast (pcs.)'!Q151</f>
        <v>154</v>
      </c>
      <c r="R151" s="53">
        <f>'[3]Forecast (pcs.)'!R151</f>
        <v>26</v>
      </c>
      <c r="S151" s="53">
        <f>'[3]Forecast (pcs.)'!S151</f>
        <v>40</v>
      </c>
      <c r="T151" s="53">
        <f>'[3]Forecast (pcs.)'!T151</f>
        <v>41.668842553888005</v>
      </c>
      <c r="U151" s="53">
        <f>'[3]Forecast (pcs.)'!U151</f>
        <v>52.98846818173903</v>
      </c>
      <c r="V151" s="53">
        <f>'[3]Forecast (pcs.)'!V151</f>
        <v>52.779010727024676</v>
      </c>
      <c r="W151" s="53">
        <f>'[3]Forecast (pcs.)'!W151</f>
        <v>53.253347460438647</v>
      </c>
      <c r="X151" s="53">
        <f>'[3]Forecast (pcs.)'!X151</f>
        <v>51.165968697650236</v>
      </c>
      <c r="Y151" s="53">
        <f>'[3]Forecast (pcs.)'!Y151</f>
        <v>53.268204248785892</v>
      </c>
      <c r="Z151" s="53">
        <f>'[3]Forecast (pcs.)'!Z151</f>
        <v>53.761247029346173</v>
      </c>
      <c r="AA151" s="53">
        <f>'[3]Forecast (pcs.)'!AA151</f>
        <v>52.354241599364677</v>
      </c>
      <c r="AB151" s="53">
        <f>'[3]Forecast (pcs.)'!AB151</f>
        <v>43.821157370619048</v>
      </c>
      <c r="AD151" s="6">
        <f t="shared" si="10"/>
        <v>73.333333333333329</v>
      </c>
    </row>
    <row r="152" spans="1:30" ht="15" customHeight="1" x14ac:dyDescent="0.25">
      <c r="A152" s="2">
        <v>5832</v>
      </c>
      <c r="B152" s="15" t="s">
        <v>186</v>
      </c>
      <c r="C152" s="15">
        <v>5832</v>
      </c>
      <c r="D152" s="16" t="s">
        <v>190</v>
      </c>
      <c r="E152" s="17">
        <v>1300</v>
      </c>
      <c r="F152" s="18">
        <v>0</v>
      </c>
      <c r="G152" s="21">
        <v>42</v>
      </c>
      <c r="H152" s="6">
        <v>46</v>
      </c>
      <c r="I152" s="22">
        <v>56</v>
      </c>
      <c r="J152" s="22">
        <v>44</v>
      </c>
      <c r="K152" s="22">
        <v>42</v>
      </c>
      <c r="L152" s="22">
        <v>10</v>
      </c>
      <c r="M152" s="22">
        <v>0</v>
      </c>
      <c r="N152" s="22">
        <v>18</v>
      </c>
      <c r="O152" s="22">
        <v>0</v>
      </c>
      <c r="P152" s="22">
        <v>100</v>
      </c>
      <c r="Q152" s="53">
        <f>'[3]Forecast (pcs.)'!Q152</f>
        <v>76</v>
      </c>
      <c r="R152" s="53">
        <f>'[3]Forecast (pcs.)'!R152</f>
        <v>98</v>
      </c>
      <c r="S152" s="53">
        <f>'[3]Forecast (pcs.)'!S152</f>
        <v>84</v>
      </c>
      <c r="T152" s="53">
        <f>'[3]Forecast (pcs.)'!T152</f>
        <v>35.132553525827142</v>
      </c>
      <c r="U152" s="53">
        <f>'[3]Forecast (pcs.)'!U152</f>
        <v>44.67655160421134</v>
      </c>
      <c r="V152" s="53">
        <f>'[3]Forecast (pcs.)'!V152</f>
        <v>44.499950220824722</v>
      </c>
      <c r="W152" s="53">
        <f>'[3]Forecast (pcs.)'!W152</f>
        <v>44.899881192134544</v>
      </c>
      <c r="X152" s="53">
        <f>'[3]Forecast (pcs.)'!X152</f>
        <v>43.139934392136475</v>
      </c>
      <c r="Y152" s="53">
        <f>'[3]Forecast (pcs.)'!Y152</f>
        <v>44.912407503878306</v>
      </c>
      <c r="Z152" s="53">
        <f>'[3]Forecast (pcs.)'!Z152</f>
        <v>45.328110240429126</v>
      </c>
      <c r="AA152" s="53">
        <f>'[3]Forecast (pcs.)'!AA152</f>
        <v>44.14181154456238</v>
      </c>
      <c r="AB152" s="53">
        <f>'[3]Forecast (pcs.)'!AB152</f>
        <v>36.947250332090569</v>
      </c>
      <c r="AD152" s="6">
        <f t="shared" si="10"/>
        <v>86</v>
      </c>
    </row>
    <row r="153" spans="1:30" ht="15" customHeight="1" x14ac:dyDescent="0.25">
      <c r="A153" s="2">
        <v>6512</v>
      </c>
      <c r="B153" s="15" t="s">
        <v>186</v>
      </c>
      <c r="C153" s="15">
        <v>6512</v>
      </c>
      <c r="D153" s="16" t="s">
        <v>191</v>
      </c>
      <c r="E153" s="17">
        <v>1200</v>
      </c>
      <c r="F153" s="18">
        <v>140</v>
      </c>
      <c r="G153" s="21">
        <v>90</v>
      </c>
      <c r="H153" s="6">
        <v>44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53">
        <f>'[3]Forecast (pcs.)'!Q153</f>
        <v>0</v>
      </c>
      <c r="R153" s="53">
        <f>'[3]Forecast (pcs.)'!R153</f>
        <v>0</v>
      </c>
      <c r="S153" s="53">
        <f>'[3]Forecast (pcs.)'!S153</f>
        <v>0</v>
      </c>
      <c r="T153" s="53">
        <f>'[3]Forecast (pcs.)'!T153</f>
        <v>6.2639436518916618</v>
      </c>
      <c r="U153" s="53">
        <f>'[3]Forecast (pcs.)'!U153</f>
        <v>7.9655867201307045</v>
      </c>
      <c r="V153" s="53">
        <f>'[3]Forecast (pcs.)'!V153</f>
        <v>7.9340996517749511</v>
      </c>
      <c r="W153" s="53">
        <f>'[3]Forecast (pcs.)'!W153</f>
        <v>8.0054051737914307</v>
      </c>
      <c r="X153" s="53">
        <f>'[3]Forecast (pcs.)'!X153</f>
        <v>7.6916162094506895</v>
      </c>
      <c r="Y153" s="53">
        <f>'[3]Forecast (pcs.)'!Y153</f>
        <v>8.0076385472031095</v>
      </c>
      <c r="Z153" s="53">
        <f>'[3]Forecast (pcs.)'!Z153</f>
        <v>8.0817560893788372</v>
      </c>
      <c r="AA153" s="53">
        <f>'[3]Forecast (pcs.)'!AA153</f>
        <v>7.8702454691855399</v>
      </c>
      <c r="AB153" s="53">
        <f>'[3]Forecast (pcs.)'!AB153</f>
        <v>6.5874942452564582</v>
      </c>
      <c r="AD153" s="6">
        <f t="shared" si="10"/>
        <v>0</v>
      </c>
    </row>
    <row r="154" spans="1:30" ht="15" customHeight="1" x14ac:dyDescent="0.25">
      <c r="A154" s="2">
        <v>6513</v>
      </c>
      <c r="B154" s="15" t="s">
        <v>186</v>
      </c>
      <c r="C154" s="15">
        <v>6513</v>
      </c>
      <c r="D154" s="16" t="s">
        <v>192</v>
      </c>
      <c r="E154" s="17">
        <v>1200</v>
      </c>
      <c r="F154" s="18">
        <v>208</v>
      </c>
      <c r="G154" s="21">
        <v>92</v>
      </c>
      <c r="H154" s="6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53">
        <f>'[3]Forecast (pcs.)'!Q154</f>
        <v>0</v>
      </c>
      <c r="R154" s="53">
        <f>'[3]Forecast (pcs.)'!R154</f>
        <v>0</v>
      </c>
      <c r="S154" s="53">
        <f>'[3]Forecast (pcs.)'!S154</f>
        <v>0</v>
      </c>
      <c r="T154" s="53">
        <f>'[3]Forecast (pcs.)'!T154</f>
        <v>0</v>
      </c>
      <c r="U154" s="53">
        <f>'[3]Forecast (pcs.)'!U154</f>
        <v>0</v>
      </c>
      <c r="V154" s="53">
        <f>'[3]Forecast (pcs.)'!V154</f>
        <v>0</v>
      </c>
      <c r="W154" s="53">
        <f>'[3]Forecast (pcs.)'!W154</f>
        <v>0</v>
      </c>
      <c r="X154" s="53">
        <f>'[3]Forecast (pcs.)'!X154</f>
        <v>0</v>
      </c>
      <c r="Y154" s="53">
        <f>'[3]Forecast (pcs.)'!Y154</f>
        <v>0</v>
      </c>
      <c r="Z154" s="53">
        <f>'[3]Forecast (pcs.)'!Z154</f>
        <v>0</v>
      </c>
      <c r="AA154" s="53">
        <f>'[3]Forecast (pcs.)'!AA154</f>
        <v>0</v>
      </c>
      <c r="AB154" s="53">
        <f>'[3]Forecast (pcs.)'!AB154</f>
        <v>0</v>
      </c>
      <c r="AD154" s="6">
        <f t="shared" si="10"/>
        <v>0</v>
      </c>
    </row>
    <row r="155" spans="1:30" ht="15" customHeight="1" x14ac:dyDescent="0.25">
      <c r="A155" s="2">
        <v>5902</v>
      </c>
      <c r="B155" s="15" t="s">
        <v>82</v>
      </c>
      <c r="C155" s="15">
        <v>5902</v>
      </c>
      <c r="D155" s="16" t="s">
        <v>81</v>
      </c>
      <c r="E155" s="17">
        <v>42.77</v>
      </c>
      <c r="F155" s="18">
        <v>0</v>
      </c>
      <c r="G155" s="32">
        <v>0</v>
      </c>
      <c r="H155" s="18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53">
        <f>'[3]Forecast (pcs.)'!Q155</f>
        <v>0</v>
      </c>
      <c r="R155" s="53">
        <f>'[3]Forecast (pcs.)'!R155</f>
        <v>0</v>
      </c>
      <c r="S155" s="53">
        <f>'[3]Forecast (pcs.)'!S155</f>
        <v>0</v>
      </c>
      <c r="T155" s="53">
        <f>'[3]Forecast (pcs.)'!T155</f>
        <v>0</v>
      </c>
      <c r="U155" s="53">
        <f>'[3]Forecast (pcs.)'!U155</f>
        <v>0</v>
      </c>
      <c r="V155" s="53">
        <f>'[3]Forecast (pcs.)'!V155</f>
        <v>0</v>
      </c>
      <c r="W155" s="53">
        <f>'[3]Forecast (pcs.)'!W155</f>
        <v>0</v>
      </c>
      <c r="X155" s="53">
        <f>'[3]Forecast (pcs.)'!X155</f>
        <v>0</v>
      </c>
      <c r="Y155" s="53">
        <f>'[3]Forecast (pcs.)'!Y155</f>
        <v>0</v>
      </c>
      <c r="Z155" s="53">
        <f>'[3]Forecast (pcs.)'!Z155</f>
        <v>0</v>
      </c>
      <c r="AA155" s="53">
        <f>'[3]Forecast (pcs.)'!AA155</f>
        <v>0</v>
      </c>
      <c r="AB155" s="53">
        <f>'[3]Forecast (pcs.)'!AB155</f>
        <v>0</v>
      </c>
      <c r="AD155" s="6">
        <f t="shared" si="10"/>
        <v>0</v>
      </c>
    </row>
    <row r="156" spans="1:30" ht="15" customHeight="1" x14ac:dyDescent="0.25">
      <c r="A156" s="2">
        <v>6097</v>
      </c>
      <c r="B156" s="15" t="s">
        <v>82</v>
      </c>
      <c r="C156" s="15">
        <v>6097</v>
      </c>
      <c r="D156" s="16" t="s">
        <v>340</v>
      </c>
      <c r="E156" s="17">
        <v>195.82</v>
      </c>
      <c r="F156" s="18">
        <v>0</v>
      </c>
      <c r="G156" s="32">
        <v>0</v>
      </c>
      <c r="H156" s="18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53">
        <f>'[3]Forecast (pcs.)'!Q156</f>
        <v>0</v>
      </c>
      <c r="R156" s="53">
        <f>'[3]Forecast (pcs.)'!R156</f>
        <v>0</v>
      </c>
      <c r="S156" s="53">
        <f>'[3]Forecast (pcs.)'!S156</f>
        <v>0</v>
      </c>
      <c r="T156" s="53">
        <f>'[3]Forecast (pcs.)'!T156</f>
        <v>0</v>
      </c>
      <c r="U156" s="53">
        <f>'[3]Forecast (pcs.)'!U156</f>
        <v>0</v>
      </c>
      <c r="V156" s="53">
        <f>'[3]Forecast (pcs.)'!V156</f>
        <v>0</v>
      </c>
      <c r="W156" s="53">
        <f>'[3]Forecast (pcs.)'!W156</f>
        <v>0</v>
      </c>
      <c r="X156" s="53">
        <f>'[3]Forecast (pcs.)'!X156</f>
        <v>0</v>
      </c>
      <c r="Y156" s="53">
        <f>'[3]Forecast (pcs.)'!Y156</f>
        <v>0</v>
      </c>
      <c r="Z156" s="53">
        <f>'[3]Forecast (pcs.)'!Z156</f>
        <v>0</v>
      </c>
      <c r="AA156" s="53">
        <f>'[3]Forecast (pcs.)'!AA156</f>
        <v>0</v>
      </c>
      <c r="AB156" s="53">
        <f>'[3]Forecast (pcs.)'!AB156</f>
        <v>0</v>
      </c>
      <c r="AD156" s="6">
        <f t="shared" si="10"/>
        <v>0</v>
      </c>
    </row>
    <row r="157" spans="1:30" ht="15" customHeight="1" x14ac:dyDescent="0.25">
      <c r="A157" s="2">
        <v>6102</v>
      </c>
      <c r="B157" s="15" t="s">
        <v>82</v>
      </c>
      <c r="C157" s="15">
        <v>6102</v>
      </c>
      <c r="D157" s="16" t="s">
        <v>341</v>
      </c>
      <c r="E157" s="17">
        <v>253.29</v>
      </c>
      <c r="F157" s="18">
        <v>0</v>
      </c>
      <c r="G157" s="32">
        <v>0</v>
      </c>
      <c r="H157" s="18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53">
        <f>'[3]Forecast (pcs.)'!Q157</f>
        <v>0</v>
      </c>
      <c r="R157" s="53">
        <f>'[3]Forecast (pcs.)'!R157</f>
        <v>0</v>
      </c>
      <c r="S157" s="53">
        <f>'[3]Forecast (pcs.)'!S157</f>
        <v>0</v>
      </c>
      <c r="T157" s="53">
        <f>'[3]Forecast (pcs.)'!T157</f>
        <v>0</v>
      </c>
      <c r="U157" s="53">
        <f>'[3]Forecast (pcs.)'!U157</f>
        <v>0</v>
      </c>
      <c r="V157" s="53">
        <f>'[3]Forecast (pcs.)'!V157</f>
        <v>0</v>
      </c>
      <c r="W157" s="53">
        <f>'[3]Forecast (pcs.)'!W157</f>
        <v>0</v>
      </c>
      <c r="X157" s="53">
        <f>'[3]Forecast (pcs.)'!X157</f>
        <v>0</v>
      </c>
      <c r="Y157" s="53">
        <f>'[3]Forecast (pcs.)'!Y157</f>
        <v>0</v>
      </c>
      <c r="Z157" s="53">
        <f>'[3]Forecast (pcs.)'!Z157</f>
        <v>0</v>
      </c>
      <c r="AA157" s="53">
        <f>'[3]Forecast (pcs.)'!AA157</f>
        <v>0</v>
      </c>
      <c r="AB157" s="53">
        <f>'[3]Forecast (pcs.)'!AB157</f>
        <v>0</v>
      </c>
      <c r="AD157" s="6">
        <f t="shared" si="10"/>
        <v>0</v>
      </c>
    </row>
    <row r="158" spans="1:30" ht="15" customHeight="1" x14ac:dyDescent="0.25">
      <c r="A158" s="2" t="s">
        <v>342</v>
      </c>
      <c r="B158" s="15" t="s">
        <v>82</v>
      </c>
      <c r="C158" s="15" t="s">
        <v>342</v>
      </c>
      <c r="D158" s="16" t="s">
        <v>81</v>
      </c>
      <c r="E158" s="17">
        <v>26.57</v>
      </c>
      <c r="F158" s="18">
        <v>0</v>
      </c>
      <c r="G158" s="32">
        <v>0</v>
      </c>
      <c r="H158" s="18">
        <v>3000</v>
      </c>
      <c r="I158" s="22">
        <v>2000</v>
      </c>
      <c r="J158" s="22">
        <v>0</v>
      </c>
      <c r="K158" s="22">
        <v>0</v>
      </c>
      <c r="L158" s="22">
        <v>3000</v>
      </c>
      <c r="M158" s="22">
        <v>0</v>
      </c>
      <c r="N158" s="22">
        <v>3000</v>
      </c>
      <c r="O158" s="22">
        <v>0</v>
      </c>
      <c r="P158" s="22">
        <v>0</v>
      </c>
      <c r="Q158" s="53">
        <f>'[3]Forecast (pcs.)'!Q158</f>
        <v>3000</v>
      </c>
      <c r="R158" s="53">
        <f>'[3]Forecast (pcs.)'!R158</f>
        <v>3000</v>
      </c>
      <c r="S158" s="53">
        <f>'[3]Forecast (pcs.)'!S158</f>
        <v>0</v>
      </c>
      <c r="T158" s="53">
        <f>'[3]Forecast (pcs.)'!T158</f>
        <v>3000</v>
      </c>
      <c r="U158" s="53">
        <f>'[3]Forecast (pcs.)'!U158</f>
        <v>3000</v>
      </c>
      <c r="V158" s="53">
        <f>'[3]Forecast (pcs.)'!V158</f>
        <v>0</v>
      </c>
      <c r="W158" s="53">
        <f>'[3]Forecast (pcs.)'!W158</f>
        <v>0</v>
      </c>
      <c r="X158" s="53">
        <f>'[3]Forecast (pcs.)'!X158</f>
        <v>3000</v>
      </c>
      <c r="Y158" s="53">
        <f>'[3]Forecast (pcs.)'!Y158</f>
        <v>0</v>
      </c>
      <c r="Z158" s="53">
        <f>'[3]Forecast (pcs.)'!Z158</f>
        <v>0</v>
      </c>
      <c r="AA158" s="53">
        <f>'[3]Forecast (pcs.)'!AA158</f>
        <v>3000</v>
      </c>
      <c r="AB158" s="53">
        <f>'[3]Forecast (pcs.)'!AB158</f>
        <v>0</v>
      </c>
      <c r="AD158" s="6">
        <f>AVERAGE(Q158:U158)</f>
        <v>2400</v>
      </c>
    </row>
    <row r="159" spans="1:30" ht="15" customHeight="1" x14ac:dyDescent="0.25">
      <c r="A159" s="2">
        <v>4626</v>
      </c>
      <c r="B159" s="15" t="s">
        <v>343</v>
      </c>
      <c r="C159" s="15">
        <v>4626</v>
      </c>
      <c r="D159" s="16" t="s">
        <v>344</v>
      </c>
      <c r="E159" s="17">
        <v>8.5399999999999991</v>
      </c>
      <c r="F159" s="18">
        <v>0</v>
      </c>
      <c r="G159" s="32">
        <v>0</v>
      </c>
      <c r="H159" s="18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53">
        <f>'[3]Forecast (pcs.)'!Q159</f>
        <v>0</v>
      </c>
      <c r="R159" s="53">
        <f>'[3]Forecast (pcs.)'!R159</f>
        <v>0</v>
      </c>
      <c r="S159" s="53">
        <f>'[3]Forecast (pcs.)'!S159</f>
        <v>0</v>
      </c>
      <c r="T159" s="53">
        <f>'[3]Forecast (pcs.)'!T159</f>
        <v>0</v>
      </c>
      <c r="U159" s="53">
        <f>'[3]Forecast (pcs.)'!U159</f>
        <v>0</v>
      </c>
      <c r="V159" s="53">
        <f>'[3]Forecast (pcs.)'!V159</f>
        <v>0</v>
      </c>
      <c r="W159" s="53">
        <f>'[3]Forecast (pcs.)'!W159</f>
        <v>0</v>
      </c>
      <c r="X159" s="53">
        <f>'[3]Forecast (pcs.)'!X159</f>
        <v>0</v>
      </c>
      <c r="Y159" s="53">
        <f>'[3]Forecast (pcs.)'!Y159</f>
        <v>0</v>
      </c>
      <c r="Z159" s="53">
        <f>'[3]Forecast (pcs.)'!Z159</f>
        <v>0</v>
      </c>
      <c r="AA159" s="53">
        <f>'[3]Forecast (pcs.)'!AA159</f>
        <v>0</v>
      </c>
      <c r="AB159" s="53">
        <f>'[3]Forecast (pcs.)'!AB159</f>
        <v>0</v>
      </c>
      <c r="AD159" s="6">
        <f>AVERAGE(Q159:U159)</f>
        <v>0</v>
      </c>
    </row>
    <row r="160" spans="1:30" ht="15" customHeight="1" x14ac:dyDescent="0.25">
      <c r="A160" s="2">
        <v>5222</v>
      </c>
      <c r="B160" s="15" t="s">
        <v>343</v>
      </c>
      <c r="C160" s="15">
        <v>5222</v>
      </c>
      <c r="D160" s="16" t="s">
        <v>345</v>
      </c>
      <c r="E160" s="17">
        <v>16.87</v>
      </c>
      <c r="F160" s="18">
        <v>4000</v>
      </c>
      <c r="G160" s="21">
        <v>7000</v>
      </c>
      <c r="H160" s="6">
        <v>5000</v>
      </c>
      <c r="I160" s="22">
        <v>4000</v>
      </c>
      <c r="J160" s="22">
        <v>6500</v>
      </c>
      <c r="K160" s="22">
        <v>8000</v>
      </c>
      <c r="L160" s="22">
        <v>7000</v>
      </c>
      <c r="M160" s="22">
        <v>8500</v>
      </c>
      <c r="N160" s="22">
        <v>8000</v>
      </c>
      <c r="O160" s="22">
        <v>9000</v>
      </c>
      <c r="P160" s="22">
        <v>7000</v>
      </c>
      <c r="Q160" s="53">
        <f>'[3]Forecast (pcs.)'!Q160</f>
        <v>6000</v>
      </c>
      <c r="R160" s="53">
        <f>'[3]Forecast (pcs.)'!R160</f>
        <v>7000</v>
      </c>
      <c r="S160" s="53">
        <f>'[3]Forecast (pcs.)'!S160</f>
        <v>5000</v>
      </c>
      <c r="T160" s="53">
        <f>'[3]Forecast (pcs.)'!T160</f>
        <v>5000</v>
      </c>
      <c r="U160" s="53">
        <f>'[3]Forecast (pcs.)'!U160</f>
        <v>5000</v>
      </c>
      <c r="V160" s="53">
        <f>'[3]Forecast (pcs.)'!V160</f>
        <v>5520.4085533632406</v>
      </c>
      <c r="W160" s="53">
        <f>'[3]Forecast (pcs.)'!W160</f>
        <v>5570.0216954862717</v>
      </c>
      <c r="X160" s="53">
        <f>'[3]Forecast (pcs.)'!X160</f>
        <v>5351.6927912973642</v>
      </c>
      <c r="Y160" s="53">
        <f>'[3]Forecast (pcs.)'!Y160</f>
        <v>5571.5756378648412</v>
      </c>
      <c r="Z160" s="53">
        <f>'[3]Forecast (pcs.)'!Z160</f>
        <v>5623.1453347099787</v>
      </c>
      <c r="AA160" s="53">
        <f>'[3]Forecast (pcs.)'!AA160</f>
        <v>5475.9799236250519</v>
      </c>
      <c r="AB160" s="53">
        <f>'[3]Forecast (pcs.)'!AB160</f>
        <v>4583.4639307321349</v>
      </c>
      <c r="AD160" s="6">
        <f t="shared" ref="AD160:AD183" si="11">AVERAGE(O160:W160)</f>
        <v>6121.1589165388341</v>
      </c>
    </row>
    <row r="161" spans="1:30" ht="15" customHeight="1" x14ac:dyDescent="0.25">
      <c r="A161" s="2">
        <v>5223</v>
      </c>
      <c r="B161" s="15" t="s">
        <v>343</v>
      </c>
      <c r="C161" s="15">
        <v>5223</v>
      </c>
      <c r="D161" s="16" t="s">
        <v>346</v>
      </c>
      <c r="E161" s="17">
        <v>7.36</v>
      </c>
      <c r="F161" s="18">
        <v>6000</v>
      </c>
      <c r="G161" s="21">
        <v>8000</v>
      </c>
      <c r="H161" s="6">
        <v>8000</v>
      </c>
      <c r="I161" s="22">
        <v>8000</v>
      </c>
      <c r="J161" s="22">
        <v>8000</v>
      </c>
      <c r="K161" s="22">
        <v>8000</v>
      </c>
      <c r="L161" s="22">
        <v>7000</v>
      </c>
      <c r="M161" s="22">
        <v>5000</v>
      </c>
      <c r="N161" s="22">
        <v>6000</v>
      </c>
      <c r="O161" s="22">
        <v>8000</v>
      </c>
      <c r="P161" s="22">
        <v>8000</v>
      </c>
      <c r="Q161" s="53">
        <f>'[3]Forecast (pcs.)'!Q161</f>
        <v>5000</v>
      </c>
      <c r="R161" s="53">
        <f>'[3]Forecast (pcs.)'!R161</f>
        <v>6000</v>
      </c>
      <c r="S161" s="53">
        <f>'[3]Forecast (pcs.)'!S161</f>
        <v>6000</v>
      </c>
      <c r="T161" s="53">
        <f>'[3]Forecast (pcs.)'!T161</f>
        <v>6000</v>
      </c>
      <c r="U161" s="53">
        <f>'[3]Forecast (pcs.)'!U161</f>
        <v>5000</v>
      </c>
      <c r="V161" s="53">
        <f>'[3]Forecast (pcs.)'!V161</f>
        <v>4484.491107524972</v>
      </c>
      <c r="W161" s="53">
        <f>'[3]Forecast (pcs.)'!W161</f>
        <v>4524.7942286647212</v>
      </c>
      <c r="X161" s="53">
        <f>'[3]Forecast (pcs.)'!X161</f>
        <v>4347.4352488199547</v>
      </c>
      <c r="Y161" s="53">
        <f>'[3]Forecast (pcs.)'!Y161</f>
        <v>4526.0565701582782</v>
      </c>
      <c r="Z161" s="53">
        <f>'[3]Forecast (pcs.)'!Z161</f>
        <v>4567.9490939967336</v>
      </c>
      <c r="AA161" s="53">
        <f>'[3]Forecast (pcs.)'!AA161</f>
        <v>4448.3996130179139</v>
      </c>
      <c r="AB161" s="53">
        <f>'[3]Forecast (pcs.)'!AB161</f>
        <v>3723.3663125362586</v>
      </c>
      <c r="AD161" s="6">
        <f t="shared" si="11"/>
        <v>5889.9205929099662</v>
      </c>
    </row>
    <row r="162" spans="1:30" ht="15" customHeight="1" x14ac:dyDescent="0.25">
      <c r="A162" s="2">
        <v>5224</v>
      </c>
      <c r="B162" s="15" t="s">
        <v>343</v>
      </c>
      <c r="C162" s="15">
        <v>5224</v>
      </c>
      <c r="D162" s="16" t="s">
        <v>347</v>
      </c>
      <c r="E162" s="17">
        <v>3.8</v>
      </c>
      <c r="F162" s="18">
        <v>0</v>
      </c>
      <c r="G162" s="32"/>
      <c r="H162" s="18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53">
        <f>'[3]Forecast (pcs.)'!Q162</f>
        <v>0</v>
      </c>
      <c r="R162" s="53">
        <f>'[3]Forecast (pcs.)'!R162</f>
        <v>0</v>
      </c>
      <c r="S162" s="53">
        <f>'[3]Forecast (pcs.)'!S162</f>
        <v>0</v>
      </c>
      <c r="T162" s="53">
        <f>'[3]Forecast (pcs.)'!T162</f>
        <v>0</v>
      </c>
      <c r="U162" s="53">
        <f>'[3]Forecast (pcs.)'!U162</f>
        <v>0</v>
      </c>
      <c r="V162" s="53">
        <f>'[3]Forecast (pcs.)'!V162</f>
        <v>0</v>
      </c>
      <c r="W162" s="53">
        <f>'[3]Forecast (pcs.)'!W162</f>
        <v>0</v>
      </c>
      <c r="X162" s="53">
        <f>'[3]Forecast (pcs.)'!X162</f>
        <v>0</v>
      </c>
      <c r="Y162" s="53">
        <f>'[3]Forecast (pcs.)'!Y162</f>
        <v>0</v>
      </c>
      <c r="Z162" s="53">
        <f>'[3]Forecast (pcs.)'!Z162</f>
        <v>0</v>
      </c>
      <c r="AA162" s="53">
        <f>'[3]Forecast (pcs.)'!AA162</f>
        <v>0</v>
      </c>
      <c r="AB162" s="53">
        <f>'[3]Forecast (pcs.)'!AB162</f>
        <v>0</v>
      </c>
      <c r="AD162" s="6">
        <f t="shared" si="11"/>
        <v>0</v>
      </c>
    </row>
    <row r="163" spans="1:30" ht="15" customHeight="1" x14ac:dyDescent="0.25">
      <c r="A163" s="2">
        <v>5226</v>
      </c>
      <c r="B163" s="15" t="s">
        <v>343</v>
      </c>
      <c r="C163" s="15">
        <v>5226</v>
      </c>
      <c r="D163" s="16" t="s">
        <v>348</v>
      </c>
      <c r="E163" s="17">
        <v>8.59</v>
      </c>
      <c r="F163" s="18">
        <v>0</v>
      </c>
      <c r="G163" s="32"/>
      <c r="H163" s="18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53">
        <f>'[3]Forecast (pcs.)'!Q163</f>
        <v>0</v>
      </c>
      <c r="R163" s="53">
        <f>'[3]Forecast (pcs.)'!R163</f>
        <v>0</v>
      </c>
      <c r="S163" s="53">
        <f>'[3]Forecast (pcs.)'!S163</f>
        <v>0</v>
      </c>
      <c r="T163" s="53">
        <f>'[3]Forecast (pcs.)'!T163</f>
        <v>0</v>
      </c>
      <c r="U163" s="53">
        <f>'[3]Forecast (pcs.)'!U163</f>
        <v>0</v>
      </c>
      <c r="V163" s="53">
        <f>'[3]Forecast (pcs.)'!V163</f>
        <v>0</v>
      </c>
      <c r="W163" s="53">
        <f>'[3]Forecast (pcs.)'!W163</f>
        <v>0</v>
      </c>
      <c r="X163" s="53">
        <f>'[3]Forecast (pcs.)'!X163</f>
        <v>0</v>
      </c>
      <c r="Y163" s="53">
        <f>'[3]Forecast (pcs.)'!Y163</f>
        <v>0</v>
      </c>
      <c r="Z163" s="53">
        <f>'[3]Forecast (pcs.)'!Z163</f>
        <v>0</v>
      </c>
      <c r="AA163" s="53">
        <f>'[3]Forecast (pcs.)'!AA163</f>
        <v>0</v>
      </c>
      <c r="AB163" s="53">
        <f>'[3]Forecast (pcs.)'!AB163</f>
        <v>0</v>
      </c>
      <c r="AD163" s="6">
        <f t="shared" si="11"/>
        <v>0</v>
      </c>
    </row>
    <row r="164" spans="1:30" ht="15" customHeight="1" x14ac:dyDescent="0.25">
      <c r="A164" s="2">
        <v>5242</v>
      </c>
      <c r="B164" s="15" t="s">
        <v>343</v>
      </c>
      <c r="C164" s="15">
        <v>5242</v>
      </c>
      <c r="D164" s="16" t="s">
        <v>349</v>
      </c>
      <c r="E164" s="17">
        <v>7.39</v>
      </c>
      <c r="F164" s="18">
        <v>0</v>
      </c>
      <c r="G164" s="21">
        <v>29804</v>
      </c>
      <c r="H164" s="6">
        <v>10196</v>
      </c>
      <c r="I164" s="22">
        <v>8000</v>
      </c>
      <c r="J164" s="22">
        <v>7000</v>
      </c>
      <c r="K164" s="22">
        <v>7000</v>
      </c>
      <c r="L164" s="22">
        <v>7000</v>
      </c>
      <c r="M164" s="22">
        <v>7000</v>
      </c>
      <c r="N164" s="22">
        <v>7000</v>
      </c>
      <c r="O164" s="22">
        <v>7000</v>
      </c>
      <c r="P164" s="22">
        <v>7000</v>
      </c>
      <c r="Q164" s="53">
        <f>'[3]Forecast (pcs.)'!Q164</f>
        <v>3000</v>
      </c>
      <c r="R164" s="53">
        <f>'[3]Forecast (pcs.)'!R164</f>
        <v>3000</v>
      </c>
      <c r="S164" s="53">
        <f>'[3]Forecast (pcs.)'!S164</f>
        <v>3000</v>
      </c>
      <c r="T164" s="53">
        <f>'[3]Forecast (pcs.)'!T164</f>
        <v>3000</v>
      </c>
      <c r="U164" s="53">
        <f>'[3]Forecast (pcs.)'!U164</f>
        <v>3000</v>
      </c>
      <c r="V164" s="53">
        <f>'[3]Forecast (pcs.)'!V164</f>
        <v>4139.5302530999743</v>
      </c>
      <c r="W164" s="53">
        <f>'[3]Forecast (pcs.)'!W164</f>
        <v>4176.7331341520512</v>
      </c>
      <c r="X164" s="53">
        <f>'[3]Forecast (pcs.)'!X164</f>
        <v>4013.0171527568814</v>
      </c>
      <c r="Y164" s="53">
        <f>'[3]Forecast (pcs.)'!Y164</f>
        <v>4177.8983724537957</v>
      </c>
      <c r="Z164" s="53">
        <f>'[3]Forecast (pcs.)'!Z164</f>
        <v>4216.5683944585235</v>
      </c>
      <c r="AA164" s="53">
        <f>'[3]Forecast (pcs.)'!AA164</f>
        <v>4106.215027401151</v>
      </c>
      <c r="AB164" s="53">
        <f>'[3]Forecast (pcs.)'!AB164</f>
        <v>3436.9535192642393</v>
      </c>
      <c r="AD164" s="6">
        <f t="shared" si="11"/>
        <v>4146.2514874724475</v>
      </c>
    </row>
    <row r="165" spans="1:30" ht="15" customHeight="1" x14ac:dyDescent="0.25">
      <c r="A165" s="2">
        <v>5252</v>
      </c>
      <c r="B165" s="15" t="s">
        <v>343</v>
      </c>
      <c r="C165" s="15">
        <v>5252</v>
      </c>
      <c r="D165" s="16" t="s">
        <v>350</v>
      </c>
      <c r="E165" s="17">
        <v>4.0999999999999996</v>
      </c>
      <c r="F165" s="18">
        <v>7700</v>
      </c>
      <c r="G165" s="21">
        <v>6000</v>
      </c>
      <c r="H165" s="6">
        <v>4000</v>
      </c>
      <c r="I165" s="22">
        <v>5000</v>
      </c>
      <c r="J165" s="22">
        <v>5000</v>
      </c>
      <c r="K165" s="22">
        <v>5000</v>
      </c>
      <c r="L165" s="22">
        <v>5000</v>
      </c>
      <c r="M165" s="22">
        <v>5000</v>
      </c>
      <c r="N165" s="22">
        <v>5000</v>
      </c>
      <c r="O165" s="22">
        <v>5000</v>
      </c>
      <c r="P165" s="22">
        <v>5000</v>
      </c>
      <c r="Q165" s="53">
        <f>'[3]Forecast (pcs.)'!Q165</f>
        <v>3000</v>
      </c>
      <c r="R165" s="53">
        <f>'[3]Forecast (pcs.)'!R165</f>
        <v>3000</v>
      </c>
      <c r="S165" s="53">
        <f>'[3]Forecast (pcs.)'!S165</f>
        <v>3000</v>
      </c>
      <c r="T165" s="53">
        <f>'[3]Forecast (pcs.)'!T165</f>
        <v>3000</v>
      </c>
      <c r="U165" s="53">
        <f>'[3]Forecast (pcs.)'!U165</f>
        <v>3000</v>
      </c>
      <c r="V165" s="53">
        <f>'[3]Forecast (pcs.)'!V165</f>
        <v>3501.3526724137287</v>
      </c>
      <c r="W165" s="53">
        <f>'[3]Forecast (pcs.)'!W165</f>
        <v>3532.82010930361</v>
      </c>
      <c r="X165" s="53">
        <f>'[3]Forecast (pcs.)'!X165</f>
        <v>3394.3436750401956</v>
      </c>
      <c r="Y165" s="53">
        <f>'[3]Forecast (pcs.)'!Y165</f>
        <v>3533.8057067005025</v>
      </c>
      <c r="Z165" s="53">
        <f>'[3]Forecast (pcs.)'!Z165</f>
        <v>3566.5141003128342</v>
      </c>
      <c r="AA165" s="53">
        <f>'[3]Forecast (pcs.)'!AA165</f>
        <v>3473.1735440101406</v>
      </c>
      <c r="AB165" s="53">
        <f>'[3]Forecast (pcs.)'!AB165</f>
        <v>2907.0898517110022</v>
      </c>
      <c r="AD165" s="6">
        <f t="shared" si="11"/>
        <v>3559.3525313019268</v>
      </c>
    </row>
    <row r="166" spans="1:30" ht="15" customHeight="1" x14ac:dyDescent="0.25">
      <c r="A166" s="2">
        <v>5304</v>
      </c>
      <c r="B166" s="15" t="s">
        <v>343</v>
      </c>
      <c r="C166" s="15">
        <v>5304</v>
      </c>
      <c r="D166" s="16" t="s">
        <v>351</v>
      </c>
      <c r="E166" s="17">
        <v>6.64</v>
      </c>
      <c r="F166" s="18">
        <v>10000</v>
      </c>
      <c r="G166" s="21">
        <v>10899</v>
      </c>
      <c r="H166" s="6">
        <v>8101</v>
      </c>
      <c r="I166" s="22">
        <v>6000</v>
      </c>
      <c r="J166" s="22">
        <v>8000</v>
      </c>
      <c r="K166" s="22">
        <v>12000</v>
      </c>
      <c r="L166" s="22">
        <v>12000</v>
      </c>
      <c r="M166" s="22">
        <v>12000</v>
      </c>
      <c r="N166" s="22">
        <v>9000</v>
      </c>
      <c r="O166" s="22">
        <v>13000</v>
      </c>
      <c r="P166" s="22">
        <v>12000</v>
      </c>
      <c r="Q166" s="53">
        <f>'[3]Forecast (pcs.)'!Q166</f>
        <v>10000</v>
      </c>
      <c r="R166" s="53">
        <f>'[3]Forecast (pcs.)'!R166</f>
        <v>6000</v>
      </c>
      <c r="S166" s="53">
        <f>'[3]Forecast (pcs.)'!S166</f>
        <v>5000</v>
      </c>
      <c r="T166" s="53">
        <f>'[3]Forecast (pcs.)'!T166</f>
        <v>5000</v>
      </c>
      <c r="U166" s="53">
        <f>'[3]Forecast (pcs.)'!U166</f>
        <v>5000</v>
      </c>
      <c r="V166" s="53">
        <f>'[3]Forecast (pcs.)'!V166</f>
        <v>8106.5800789874493</v>
      </c>
      <c r="W166" s="53">
        <f>'[3]Forecast (pcs.)'!W166</f>
        <v>8179.4357210477656</v>
      </c>
      <c r="X166" s="53">
        <f>'[3]Forecast (pcs.)'!X166</f>
        <v>7858.8252574822254</v>
      </c>
      <c r="Y166" s="53">
        <f>'[3]Forecast (pcs.)'!Y166</f>
        <v>8181.7176460553492</v>
      </c>
      <c r="Z166" s="53">
        <f>'[3]Forecast (pcs.)'!Z166</f>
        <v>8257.4464391479414</v>
      </c>
      <c r="AA166" s="53">
        <f>'[3]Forecast (pcs.)'!AA166</f>
        <v>8041.337761993921</v>
      </c>
      <c r="AB166" s="53">
        <f>'[3]Forecast (pcs.)'!AB166</f>
        <v>6730.7006418924675</v>
      </c>
      <c r="AD166" s="6">
        <f t="shared" si="11"/>
        <v>8031.7795333372451</v>
      </c>
    </row>
    <row r="167" spans="1:30" ht="15" customHeight="1" x14ac:dyDescent="0.25">
      <c r="A167" s="2">
        <v>5305</v>
      </c>
      <c r="B167" s="15" t="s">
        <v>343</v>
      </c>
      <c r="C167" s="15">
        <v>5305</v>
      </c>
      <c r="D167" s="16" t="s">
        <v>352</v>
      </c>
      <c r="E167" s="17">
        <v>8.4</v>
      </c>
      <c r="F167" s="18">
        <v>0</v>
      </c>
      <c r="G167" s="32">
        <v>0</v>
      </c>
      <c r="H167" s="18">
        <v>0</v>
      </c>
      <c r="I167" s="22">
        <v>2000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3000</v>
      </c>
      <c r="P167" s="22">
        <v>0</v>
      </c>
      <c r="Q167" s="53">
        <f>'[3]Forecast (pcs.)'!Q167</f>
        <v>0</v>
      </c>
      <c r="R167" s="53">
        <f>'[3]Forecast (pcs.)'!R167</f>
        <v>2000</v>
      </c>
      <c r="S167" s="53">
        <f>'[3]Forecast (pcs.)'!S167</f>
        <v>0</v>
      </c>
      <c r="T167" s="53">
        <f>'[3]Forecast (pcs.)'!T167</f>
        <v>0</v>
      </c>
      <c r="U167" s="53">
        <f>'[3]Forecast (pcs.)'!U167</f>
        <v>2000</v>
      </c>
      <c r="V167" s="53">
        <f>'[3]Forecast (pcs.)'!V167</f>
        <v>0</v>
      </c>
      <c r="W167" s="53">
        <f>'[3]Forecast (pcs.)'!W167</f>
        <v>0</v>
      </c>
      <c r="X167" s="53">
        <f>'[3]Forecast (pcs.)'!X167</f>
        <v>0</v>
      </c>
      <c r="Y167" s="53">
        <f>'[3]Forecast (pcs.)'!Y167</f>
        <v>0</v>
      </c>
      <c r="Z167" s="53">
        <f>'[3]Forecast (pcs.)'!Z167</f>
        <v>0</v>
      </c>
      <c r="AA167" s="53">
        <f>'[3]Forecast (pcs.)'!AA167</f>
        <v>0</v>
      </c>
      <c r="AB167" s="53">
        <f>'[3]Forecast (pcs.)'!AB167</f>
        <v>0</v>
      </c>
      <c r="AD167" s="6">
        <f t="shared" si="11"/>
        <v>777.77777777777783</v>
      </c>
    </row>
    <row r="168" spans="1:30" ht="14.25" customHeight="1" x14ac:dyDescent="0.25">
      <c r="A168" s="2">
        <v>5306</v>
      </c>
      <c r="B168" s="15" t="s">
        <v>343</v>
      </c>
      <c r="C168" s="15">
        <v>5306</v>
      </c>
      <c r="D168" s="16" t="s">
        <v>353</v>
      </c>
      <c r="E168" s="17">
        <v>8.5399999999999991</v>
      </c>
      <c r="F168" s="18">
        <v>6000</v>
      </c>
      <c r="G168" s="21">
        <v>7991</v>
      </c>
      <c r="H168" s="6">
        <v>4009</v>
      </c>
      <c r="I168" s="22">
        <v>5000</v>
      </c>
      <c r="J168" s="22">
        <v>6000</v>
      </c>
      <c r="K168" s="22">
        <v>9000</v>
      </c>
      <c r="L168" s="22">
        <v>0</v>
      </c>
      <c r="M168" s="22">
        <v>5000</v>
      </c>
      <c r="N168" s="22">
        <v>5000</v>
      </c>
      <c r="O168" s="22">
        <v>11000</v>
      </c>
      <c r="P168" s="22">
        <v>12000</v>
      </c>
      <c r="Q168" s="53">
        <f>'[3]Forecast (pcs.)'!Q168</f>
        <v>5000</v>
      </c>
      <c r="R168" s="53">
        <f>'[3]Forecast (pcs.)'!R168</f>
        <v>3000</v>
      </c>
      <c r="S168" s="53">
        <f>'[3]Forecast (pcs.)'!S168</f>
        <v>4000</v>
      </c>
      <c r="T168" s="53">
        <f>'[3]Forecast (pcs.)'!T168</f>
        <v>3000</v>
      </c>
      <c r="U168" s="53">
        <f>'[3]Forecast (pcs.)'!U168</f>
        <v>5000</v>
      </c>
      <c r="V168" s="53">
        <f>'[3]Forecast (pcs.)'!V168</f>
        <v>7071.6975157124562</v>
      </c>
      <c r="W168" s="53">
        <f>'[3]Forecast (pcs.)'!W168</f>
        <v>7135.2524375097528</v>
      </c>
      <c r="X168" s="53">
        <f>'[3]Forecast (pcs.)'!X168</f>
        <v>6855.5709692930059</v>
      </c>
      <c r="Y168" s="53">
        <f>'[3]Forecast (pcs.)'!Y168</f>
        <v>7137.2430529419007</v>
      </c>
      <c r="Z168" s="53">
        <f>'[3]Forecast (pcs.)'!Z168</f>
        <v>7203.3043405333101</v>
      </c>
      <c r="AA168" s="53">
        <f>'[3]Forecast (pcs.)'!AA168</f>
        <v>7014.7840051436333</v>
      </c>
      <c r="AB168" s="53">
        <f>'[3]Forecast (pcs.)'!AB168</f>
        <v>5871.4622620764085</v>
      </c>
      <c r="AD168" s="6">
        <f t="shared" si="11"/>
        <v>6356.3277725802454</v>
      </c>
    </row>
    <row r="169" spans="1:30" ht="15" customHeight="1" x14ac:dyDescent="0.25">
      <c r="A169" s="2">
        <v>5307</v>
      </c>
      <c r="B169" s="15" t="s">
        <v>343</v>
      </c>
      <c r="C169" s="15">
        <v>5307</v>
      </c>
      <c r="D169" s="16" t="s">
        <v>354</v>
      </c>
      <c r="E169" s="17">
        <v>5.5</v>
      </c>
      <c r="F169" s="18">
        <v>5000</v>
      </c>
      <c r="G169" s="21">
        <v>5000</v>
      </c>
      <c r="H169" s="6">
        <v>4000</v>
      </c>
      <c r="I169" s="22">
        <v>4000</v>
      </c>
      <c r="J169" s="22">
        <v>3000</v>
      </c>
      <c r="K169" s="22">
        <v>3000</v>
      </c>
      <c r="L169" s="22">
        <v>3000</v>
      </c>
      <c r="M169" s="22">
        <v>3000</v>
      </c>
      <c r="N169" s="22">
        <v>3000</v>
      </c>
      <c r="O169" s="22">
        <v>20000</v>
      </c>
      <c r="P169" s="22">
        <v>3000</v>
      </c>
      <c r="Q169" s="53">
        <f>'[3]Forecast (pcs.)'!Q169</f>
        <v>3000</v>
      </c>
      <c r="R169" s="53">
        <f>'[3]Forecast (pcs.)'!R169</f>
        <v>3000</v>
      </c>
      <c r="S169" s="53">
        <f>'[3]Forecast (pcs.)'!S169</f>
        <v>3000</v>
      </c>
      <c r="T169" s="53">
        <f>'[3]Forecast (pcs.)'!T169</f>
        <v>3000</v>
      </c>
      <c r="U169" s="53">
        <f>'[3]Forecast (pcs.)'!U169</f>
        <v>3000</v>
      </c>
      <c r="V169" s="53">
        <f>'[3]Forecast (pcs.)'!V169</f>
        <v>2932.1672626124819</v>
      </c>
      <c r="W169" s="53">
        <f>'[3]Forecast (pcs.)'!W169</f>
        <v>2958.5193033577029</v>
      </c>
      <c r="X169" s="53">
        <f>'[3]Forecast (pcs.)'!X169</f>
        <v>2842.5538165361245</v>
      </c>
      <c r="Y169" s="53">
        <f>'[3]Forecast (pcs.)'!Y169</f>
        <v>2959.3446804881055</v>
      </c>
      <c r="Z169" s="53">
        <f>'[3]Forecast (pcs.)'!Z169</f>
        <v>2986.7359460747875</v>
      </c>
      <c r="AA169" s="53">
        <f>'[3]Forecast (pcs.)'!AA169</f>
        <v>2908.5689777424823</v>
      </c>
      <c r="AB169" s="53">
        <f>'[3]Forecast (pcs.)'!AB169</f>
        <v>2434.5087428121697</v>
      </c>
      <c r="AD169" s="6">
        <f t="shared" si="11"/>
        <v>4876.742951774464</v>
      </c>
    </row>
    <row r="170" spans="1:30" ht="15" customHeight="1" x14ac:dyDescent="0.25">
      <c r="A170" s="2">
        <v>5315</v>
      </c>
      <c r="B170" s="15" t="s">
        <v>343</v>
      </c>
      <c r="C170" s="15">
        <v>5315</v>
      </c>
      <c r="D170" s="16" t="s">
        <v>355</v>
      </c>
      <c r="E170" s="17">
        <v>8.5399999999999991</v>
      </c>
      <c r="F170" s="18">
        <v>0</v>
      </c>
      <c r="G170" s="32">
        <v>0</v>
      </c>
      <c r="H170" s="18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53">
        <f>'[3]Forecast (pcs.)'!Q170</f>
        <v>0</v>
      </c>
      <c r="R170" s="53">
        <f>'[3]Forecast (pcs.)'!R170</f>
        <v>0</v>
      </c>
      <c r="S170" s="53">
        <f>'[3]Forecast (pcs.)'!S170</f>
        <v>0</v>
      </c>
      <c r="T170" s="53">
        <f>'[3]Forecast (pcs.)'!T170</f>
        <v>0</v>
      </c>
      <c r="U170" s="53">
        <f>'[3]Forecast (pcs.)'!U170</f>
        <v>0</v>
      </c>
      <c r="V170" s="53">
        <f>'[3]Forecast (pcs.)'!V170</f>
        <v>0</v>
      </c>
      <c r="W170" s="53">
        <f>'[3]Forecast (pcs.)'!W170</f>
        <v>0</v>
      </c>
      <c r="X170" s="53">
        <f>'[3]Forecast (pcs.)'!X170</f>
        <v>0</v>
      </c>
      <c r="Y170" s="53">
        <f>'[3]Forecast (pcs.)'!Y170</f>
        <v>0</v>
      </c>
      <c r="Z170" s="53">
        <f>'[3]Forecast (pcs.)'!Z170</f>
        <v>0</v>
      </c>
      <c r="AA170" s="53">
        <f>'[3]Forecast (pcs.)'!AA170</f>
        <v>0</v>
      </c>
      <c r="AB170" s="53">
        <f>'[3]Forecast (pcs.)'!AB170</f>
        <v>0</v>
      </c>
      <c r="AD170" s="6">
        <f t="shared" si="11"/>
        <v>0</v>
      </c>
    </row>
    <row r="171" spans="1:30" ht="15" customHeight="1" x14ac:dyDescent="0.25">
      <c r="A171" s="2">
        <v>5426</v>
      </c>
      <c r="B171" s="15" t="s">
        <v>343</v>
      </c>
      <c r="C171" s="15">
        <v>5426</v>
      </c>
      <c r="D171" s="16" t="s">
        <v>356</v>
      </c>
      <c r="E171" s="17">
        <v>8.5399999999999991</v>
      </c>
      <c r="F171" s="18">
        <v>0</v>
      </c>
      <c r="G171" s="32">
        <v>0</v>
      </c>
      <c r="H171" s="18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53">
        <f>'[3]Forecast (pcs.)'!Q171</f>
        <v>0</v>
      </c>
      <c r="R171" s="53">
        <f>'[3]Forecast (pcs.)'!R171</f>
        <v>0</v>
      </c>
      <c r="S171" s="53">
        <f>'[3]Forecast (pcs.)'!S171</f>
        <v>0</v>
      </c>
      <c r="T171" s="53">
        <f>'[3]Forecast (pcs.)'!T171</f>
        <v>0</v>
      </c>
      <c r="U171" s="53">
        <f>'[3]Forecast (pcs.)'!U171</f>
        <v>0</v>
      </c>
      <c r="V171" s="53">
        <f>'[3]Forecast (pcs.)'!V171</f>
        <v>0</v>
      </c>
      <c r="W171" s="53">
        <f>'[3]Forecast (pcs.)'!W171</f>
        <v>0</v>
      </c>
      <c r="X171" s="53">
        <f>'[3]Forecast (pcs.)'!X171</f>
        <v>0</v>
      </c>
      <c r="Y171" s="53">
        <f>'[3]Forecast (pcs.)'!Y171</f>
        <v>0</v>
      </c>
      <c r="Z171" s="53">
        <f>'[3]Forecast (pcs.)'!Z171</f>
        <v>0</v>
      </c>
      <c r="AA171" s="53">
        <f>'[3]Forecast (pcs.)'!AA171</f>
        <v>0</v>
      </c>
      <c r="AB171" s="53">
        <f>'[3]Forecast (pcs.)'!AB171</f>
        <v>0</v>
      </c>
      <c r="AD171" s="6">
        <f t="shared" si="11"/>
        <v>0</v>
      </c>
    </row>
    <row r="172" spans="1:30" ht="15" customHeight="1" x14ac:dyDescent="0.25">
      <c r="A172" s="2">
        <v>5427</v>
      </c>
      <c r="B172" s="15" t="s">
        <v>343</v>
      </c>
      <c r="C172" s="15">
        <v>5427</v>
      </c>
      <c r="D172" s="16" t="s">
        <v>357</v>
      </c>
      <c r="E172" s="17">
        <v>4.5</v>
      </c>
      <c r="F172" s="18">
        <v>2300</v>
      </c>
      <c r="G172" s="21">
        <v>3200</v>
      </c>
      <c r="H172" s="6">
        <v>3000</v>
      </c>
      <c r="I172" s="22">
        <v>3000</v>
      </c>
      <c r="J172" s="22">
        <v>0</v>
      </c>
      <c r="K172" s="22">
        <v>0</v>
      </c>
      <c r="L172" s="22">
        <v>2000</v>
      </c>
      <c r="M172" s="22">
        <v>1000</v>
      </c>
      <c r="N172" s="22">
        <v>3000</v>
      </c>
      <c r="O172" s="22">
        <v>2500</v>
      </c>
      <c r="P172" s="22">
        <v>2500</v>
      </c>
      <c r="Q172" s="53">
        <f>'[3]Forecast (pcs.)'!Q172</f>
        <v>0</v>
      </c>
      <c r="R172" s="53">
        <f>'[3]Forecast (pcs.)'!R172</f>
        <v>6000</v>
      </c>
      <c r="S172" s="53">
        <f>'[3]Forecast (pcs.)'!S172</f>
        <v>7000</v>
      </c>
      <c r="T172" s="53">
        <f>'[3]Forecast (pcs.)'!T172</f>
        <v>5000</v>
      </c>
      <c r="U172" s="53">
        <f>'[3]Forecast (pcs.)'!U172</f>
        <v>5000</v>
      </c>
      <c r="V172" s="53">
        <f>'[3]Forecast (pcs.)'!V172</f>
        <v>4484.491107524972</v>
      </c>
      <c r="W172" s="53">
        <f>'[3]Forecast (pcs.)'!W172</f>
        <v>4524.7942286647212</v>
      </c>
      <c r="X172" s="53">
        <f>'[3]Forecast (pcs.)'!X172</f>
        <v>4347.4352488199547</v>
      </c>
      <c r="Y172" s="53">
        <f>'[3]Forecast (pcs.)'!Y172</f>
        <v>4526.0565701582782</v>
      </c>
      <c r="Z172" s="53">
        <f>'[3]Forecast (pcs.)'!Z172</f>
        <v>4567.9490939967336</v>
      </c>
      <c r="AA172" s="53">
        <f>'[3]Forecast (pcs.)'!AA172</f>
        <v>4448.3996130179139</v>
      </c>
      <c r="AB172" s="53">
        <f>'[3]Forecast (pcs.)'!AB172</f>
        <v>3723.3663125362586</v>
      </c>
      <c r="AD172" s="6">
        <f t="shared" si="11"/>
        <v>4112.1428151321879</v>
      </c>
    </row>
    <row r="173" spans="1:30" ht="15" customHeight="1" x14ac:dyDescent="0.25">
      <c r="A173" s="2">
        <v>5623</v>
      </c>
      <c r="B173" s="15" t="s">
        <v>343</v>
      </c>
      <c r="C173" s="15">
        <v>5623</v>
      </c>
      <c r="D173" s="16" t="s">
        <v>358</v>
      </c>
      <c r="E173" s="17">
        <v>6.59</v>
      </c>
      <c r="F173" s="18">
        <v>3500</v>
      </c>
      <c r="G173" s="21">
        <v>24438</v>
      </c>
      <c r="H173" s="6">
        <v>6062</v>
      </c>
      <c r="I173" s="22">
        <v>0</v>
      </c>
      <c r="J173" s="22">
        <v>0</v>
      </c>
      <c r="K173" s="22">
        <v>8000</v>
      </c>
      <c r="L173" s="22">
        <v>7000</v>
      </c>
      <c r="M173" s="22">
        <v>0</v>
      </c>
      <c r="N173" s="22">
        <v>10000</v>
      </c>
      <c r="O173" s="22">
        <v>10000</v>
      </c>
      <c r="P173" s="22">
        <v>10000</v>
      </c>
      <c r="Q173" s="53">
        <f>'[3]Forecast (pcs.)'!Q173</f>
        <v>10000</v>
      </c>
      <c r="R173" s="53">
        <f>'[3]Forecast (pcs.)'!R173</f>
        <v>10000</v>
      </c>
      <c r="S173" s="53">
        <f>'[3]Forecast (pcs.)'!S173</f>
        <v>10000</v>
      </c>
      <c r="T173" s="53">
        <f>'[3]Forecast (pcs.)'!T173</f>
        <v>10000</v>
      </c>
      <c r="U173" s="53">
        <f>'[3]Forecast (pcs.)'!U173</f>
        <v>10000</v>
      </c>
      <c r="V173" s="53">
        <f>'[3]Forecast (pcs.)'!V173</f>
        <v>10693.786487174935</v>
      </c>
      <c r="W173" s="53">
        <f>'[3]Forecast (pcs.)'!W173</f>
        <v>10789.893929892798</v>
      </c>
      <c r="X173" s="53">
        <f>'[3]Forecast (pcs.)'!X173</f>
        <v>10366.960977955277</v>
      </c>
      <c r="Y173" s="53">
        <f>'[3]Forecast (pcs.)'!Y173</f>
        <v>10792.904128838973</v>
      </c>
      <c r="Z173" s="53">
        <f>'[3]Forecast (pcs.)'!Z173</f>
        <v>10892.801685684519</v>
      </c>
      <c r="AA173" s="53">
        <f>'[3]Forecast (pcs.)'!AA173</f>
        <v>10607.722154119641</v>
      </c>
      <c r="AB173" s="53">
        <f>'[3]Forecast (pcs.)'!AB173</f>
        <v>8878.7965914326178</v>
      </c>
      <c r="AD173" s="6">
        <f t="shared" si="11"/>
        <v>10164.853379674192</v>
      </c>
    </row>
    <row r="174" spans="1:30" ht="15" customHeight="1" x14ac:dyDescent="0.25">
      <c r="A174" s="2">
        <v>5624</v>
      </c>
      <c r="B174" s="15" t="s">
        <v>343</v>
      </c>
      <c r="C174" s="15">
        <v>5624</v>
      </c>
      <c r="D174" s="16" t="s">
        <v>359</v>
      </c>
      <c r="E174" s="17">
        <v>4.0999999999999996</v>
      </c>
      <c r="F174" s="18">
        <v>0</v>
      </c>
      <c r="G174" s="32">
        <v>0</v>
      </c>
      <c r="H174" s="18">
        <v>3000</v>
      </c>
      <c r="I174" s="22">
        <v>0</v>
      </c>
      <c r="J174" s="22">
        <v>3000</v>
      </c>
      <c r="K174" s="22">
        <v>3000</v>
      </c>
      <c r="L174" s="22">
        <v>0</v>
      </c>
      <c r="M174" s="22">
        <v>2000</v>
      </c>
      <c r="N174" s="22">
        <v>2000</v>
      </c>
      <c r="O174" s="22">
        <v>2000</v>
      </c>
      <c r="P174" s="22">
        <v>2000</v>
      </c>
      <c r="Q174" s="53">
        <f>'[3]Forecast (pcs.)'!Q174</f>
        <v>2000</v>
      </c>
      <c r="R174" s="53">
        <f>'[3]Forecast (pcs.)'!R174</f>
        <v>2500</v>
      </c>
      <c r="S174" s="53">
        <f>'[3]Forecast (pcs.)'!S174</f>
        <v>2000</v>
      </c>
      <c r="T174" s="53">
        <f>'[3]Forecast (pcs.)'!T174</f>
        <v>0</v>
      </c>
      <c r="U174" s="53">
        <f>'[3]Forecast (pcs.)'!U174</f>
        <v>2000</v>
      </c>
      <c r="V174" s="53">
        <f>'[3]Forecast (pcs.)'!V174</f>
        <v>1724.8042721249894</v>
      </c>
      <c r="W174" s="53">
        <f>'[3]Forecast (pcs.)'!W174</f>
        <v>1740.3054725633547</v>
      </c>
      <c r="X174" s="53">
        <f>'[3]Forecast (pcs.)'!X174</f>
        <v>1672.0904803153674</v>
      </c>
      <c r="Y174" s="53">
        <f>'[3]Forecast (pcs.)'!Y174</f>
        <v>1740.7909885224149</v>
      </c>
      <c r="Z174" s="53">
        <f>'[3]Forecast (pcs.)'!Z174</f>
        <v>1756.9034976910514</v>
      </c>
      <c r="AA174" s="53">
        <f>'[3]Forecast (pcs.)'!AA174</f>
        <v>1710.9229280838131</v>
      </c>
      <c r="AB174" s="53">
        <f>'[3]Forecast (pcs.)'!AB174</f>
        <v>1432.0639663600996</v>
      </c>
      <c r="AD174" s="6">
        <f t="shared" si="11"/>
        <v>1773.9010827431493</v>
      </c>
    </row>
    <row r="175" spans="1:30" ht="15" customHeight="1" x14ac:dyDescent="0.25">
      <c r="A175" s="2">
        <v>6162</v>
      </c>
      <c r="B175" s="15" t="s">
        <v>343</v>
      </c>
      <c r="C175" s="15">
        <v>6162</v>
      </c>
      <c r="D175" s="16" t="s">
        <v>360</v>
      </c>
      <c r="E175" s="17">
        <v>7.41</v>
      </c>
      <c r="F175" s="18">
        <v>0</v>
      </c>
      <c r="G175" s="32">
        <v>0</v>
      </c>
      <c r="H175" s="18">
        <v>2000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53">
        <f>'[3]Forecast (pcs.)'!Q175</f>
        <v>0</v>
      </c>
      <c r="R175" s="53">
        <f>'[3]Forecast (pcs.)'!R175</f>
        <v>2000</v>
      </c>
      <c r="S175" s="53">
        <f>'[3]Forecast (pcs.)'!S175</f>
        <v>0</v>
      </c>
      <c r="T175" s="53">
        <f>'[3]Forecast (pcs.)'!T175</f>
        <v>0</v>
      </c>
      <c r="U175" s="53">
        <f>'[3]Forecast (pcs.)'!U175</f>
        <v>0</v>
      </c>
      <c r="V175" s="53">
        <f>'[3]Forecast (pcs.)'!V175</f>
        <v>0</v>
      </c>
      <c r="W175" s="53">
        <f>'[3]Forecast (pcs.)'!W175</f>
        <v>0</v>
      </c>
      <c r="X175" s="53">
        <f>'[3]Forecast (pcs.)'!X175</f>
        <v>0</v>
      </c>
      <c r="Y175" s="53">
        <f>'[3]Forecast (pcs.)'!Y175</f>
        <v>0</v>
      </c>
      <c r="Z175" s="53">
        <f>'[3]Forecast (pcs.)'!Z175</f>
        <v>0</v>
      </c>
      <c r="AA175" s="53">
        <f>'[3]Forecast (pcs.)'!AA175</f>
        <v>0</v>
      </c>
      <c r="AB175" s="53">
        <f>'[3]Forecast (pcs.)'!AB175</f>
        <v>0</v>
      </c>
      <c r="AD175" s="6">
        <f t="shared" si="11"/>
        <v>222.22222222222223</v>
      </c>
    </row>
    <row r="176" spans="1:30" ht="15" customHeight="1" x14ac:dyDescent="0.25">
      <c r="A176" s="2">
        <v>6339</v>
      </c>
      <c r="B176" s="15" t="s">
        <v>343</v>
      </c>
      <c r="C176" s="15">
        <v>6339</v>
      </c>
      <c r="D176" s="16" t="s">
        <v>361</v>
      </c>
      <c r="E176" s="17">
        <v>7.22</v>
      </c>
      <c r="F176" s="18">
        <v>0</v>
      </c>
      <c r="G176" s="21">
        <v>12000</v>
      </c>
      <c r="H176" s="6">
        <v>5000</v>
      </c>
      <c r="I176" s="22">
        <v>5000</v>
      </c>
      <c r="J176" s="22">
        <v>5000</v>
      </c>
      <c r="K176" s="22">
        <v>6500</v>
      </c>
      <c r="L176" s="22">
        <v>0</v>
      </c>
      <c r="M176" s="22">
        <v>5000</v>
      </c>
      <c r="N176" s="22">
        <v>10000</v>
      </c>
      <c r="O176" s="22">
        <v>8000</v>
      </c>
      <c r="P176" s="22">
        <v>7000</v>
      </c>
      <c r="Q176" s="53">
        <f>'[3]Forecast (pcs.)'!Q176</f>
        <v>5000</v>
      </c>
      <c r="R176" s="53">
        <f>'[3]Forecast (pcs.)'!R176</f>
        <v>12000</v>
      </c>
      <c r="S176" s="53">
        <f>'[3]Forecast (pcs.)'!S176</f>
        <v>10000</v>
      </c>
      <c r="T176" s="53">
        <f>'[3]Forecast (pcs.)'!T176</f>
        <v>6000</v>
      </c>
      <c r="U176" s="53">
        <f>'[3]Forecast (pcs.)'!U176</f>
        <v>6000</v>
      </c>
      <c r="V176" s="53">
        <f>'[3]Forecast (pcs.)'!V176</f>
        <v>3967.0498258874759</v>
      </c>
      <c r="W176" s="53">
        <f>'[3]Forecast (pcs.)'!W176</f>
        <v>4002.7025868957157</v>
      </c>
      <c r="X176" s="53">
        <f>'[3]Forecast (pcs.)'!X176</f>
        <v>3845.8081047253449</v>
      </c>
      <c r="Y176" s="53">
        <f>'[3]Forecast (pcs.)'!Y176</f>
        <v>4003.8192736015544</v>
      </c>
      <c r="Z176" s="53">
        <f>'[3]Forecast (pcs.)'!Z176</f>
        <v>4040.8780446894184</v>
      </c>
      <c r="AA176" s="53">
        <f>'[3]Forecast (pcs.)'!AA176</f>
        <v>3935.12273459277</v>
      </c>
      <c r="AB176" s="53">
        <f>'[3]Forecast (pcs.)'!AB176</f>
        <v>3293.7471226282291</v>
      </c>
      <c r="AD176" s="6">
        <f t="shared" si="11"/>
        <v>6885.5280458647985</v>
      </c>
    </row>
    <row r="177" spans="1:30" ht="15" customHeight="1" x14ac:dyDescent="0.25">
      <c r="A177" s="2">
        <v>6504</v>
      </c>
      <c r="B177" s="15" t="s">
        <v>343</v>
      </c>
      <c r="C177" s="15">
        <v>6504</v>
      </c>
      <c r="D177" s="16" t="s">
        <v>360</v>
      </c>
      <c r="E177" s="17">
        <v>5.25</v>
      </c>
      <c r="F177" s="18">
        <v>0</v>
      </c>
      <c r="G177" s="19"/>
      <c r="H177" s="19"/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53">
        <f>'[3]Forecast (pcs.)'!Q177</f>
        <v>0</v>
      </c>
      <c r="R177" s="53">
        <f>'[3]Forecast (pcs.)'!R177</f>
        <v>0</v>
      </c>
      <c r="S177" s="53">
        <f>'[3]Forecast (pcs.)'!S177</f>
        <v>0</v>
      </c>
      <c r="T177" s="53">
        <f>'[3]Forecast (pcs.)'!T177</f>
        <v>0</v>
      </c>
      <c r="U177" s="53">
        <f>'[3]Forecast (pcs.)'!U177</f>
        <v>0</v>
      </c>
      <c r="V177" s="53">
        <f>'[3]Forecast (pcs.)'!V177</f>
        <v>0</v>
      </c>
      <c r="W177" s="53">
        <f>'[3]Forecast (pcs.)'!W177</f>
        <v>0</v>
      </c>
      <c r="X177" s="53">
        <f>'[3]Forecast (pcs.)'!X177</f>
        <v>0</v>
      </c>
      <c r="Y177" s="53">
        <f>'[3]Forecast (pcs.)'!Y177</f>
        <v>0</v>
      </c>
      <c r="Z177" s="53">
        <f>'[3]Forecast (pcs.)'!Z177</f>
        <v>0</v>
      </c>
      <c r="AA177" s="53">
        <f>'[3]Forecast (pcs.)'!AA177</f>
        <v>0</v>
      </c>
      <c r="AB177" s="53">
        <f>'[3]Forecast (pcs.)'!AB177</f>
        <v>0</v>
      </c>
      <c r="AD177" s="6">
        <f t="shared" si="11"/>
        <v>0</v>
      </c>
    </row>
    <row r="178" spans="1:30" ht="15" customHeight="1" x14ac:dyDescent="0.25">
      <c r="A178" s="2">
        <v>6505</v>
      </c>
      <c r="B178" s="15" t="s">
        <v>343</v>
      </c>
      <c r="C178" s="15">
        <v>6505</v>
      </c>
      <c r="D178" s="16" t="s">
        <v>358</v>
      </c>
      <c r="E178" s="17">
        <v>5.28</v>
      </c>
      <c r="F178" s="18">
        <v>0</v>
      </c>
      <c r="G178" s="19"/>
      <c r="H178" s="19"/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53">
        <f>'[3]Forecast (pcs.)'!Q178</f>
        <v>0</v>
      </c>
      <c r="R178" s="53">
        <f>'[3]Forecast (pcs.)'!R178</f>
        <v>0</v>
      </c>
      <c r="S178" s="53">
        <f>'[3]Forecast (pcs.)'!S178</f>
        <v>0</v>
      </c>
      <c r="T178" s="53">
        <f>'[3]Forecast (pcs.)'!T178</f>
        <v>0</v>
      </c>
      <c r="U178" s="53">
        <f>'[3]Forecast (pcs.)'!U178</f>
        <v>0</v>
      </c>
      <c r="V178" s="53">
        <f>'[3]Forecast (pcs.)'!V178</f>
        <v>0</v>
      </c>
      <c r="W178" s="53">
        <f>'[3]Forecast (pcs.)'!W178</f>
        <v>0</v>
      </c>
      <c r="X178" s="53">
        <f>'[3]Forecast (pcs.)'!X178</f>
        <v>0</v>
      </c>
      <c r="Y178" s="53">
        <f>'[3]Forecast (pcs.)'!Y178</f>
        <v>0</v>
      </c>
      <c r="Z178" s="53">
        <f>'[3]Forecast (pcs.)'!Z178</f>
        <v>0</v>
      </c>
      <c r="AA178" s="53">
        <f>'[3]Forecast (pcs.)'!AA178</f>
        <v>0</v>
      </c>
      <c r="AB178" s="53">
        <f>'[3]Forecast (pcs.)'!AB178</f>
        <v>0</v>
      </c>
      <c r="AD178" s="6">
        <f t="shared" si="11"/>
        <v>0</v>
      </c>
    </row>
    <row r="179" spans="1:30" ht="15" customHeight="1" x14ac:dyDescent="0.25">
      <c r="A179" s="2">
        <v>6506</v>
      </c>
      <c r="B179" s="15" t="s">
        <v>343</v>
      </c>
      <c r="C179" s="15">
        <v>6506</v>
      </c>
      <c r="D179" s="16" t="s">
        <v>353</v>
      </c>
      <c r="E179" s="17">
        <v>6.38</v>
      </c>
      <c r="F179" s="18">
        <v>0</v>
      </c>
      <c r="G179" s="19"/>
      <c r="H179" s="19"/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53">
        <f>'[3]Forecast (pcs.)'!Q179</f>
        <v>0</v>
      </c>
      <c r="R179" s="53">
        <f>'[3]Forecast (pcs.)'!R179</f>
        <v>0</v>
      </c>
      <c r="S179" s="53">
        <f>'[3]Forecast (pcs.)'!S179</f>
        <v>0</v>
      </c>
      <c r="T179" s="53">
        <f>'[3]Forecast (pcs.)'!T179</f>
        <v>0</v>
      </c>
      <c r="U179" s="53">
        <f>'[3]Forecast (pcs.)'!U179</f>
        <v>0</v>
      </c>
      <c r="V179" s="53">
        <f>'[3]Forecast (pcs.)'!V179</f>
        <v>0</v>
      </c>
      <c r="W179" s="53">
        <f>'[3]Forecast (pcs.)'!W179</f>
        <v>0</v>
      </c>
      <c r="X179" s="53">
        <f>'[3]Forecast (pcs.)'!X179</f>
        <v>0</v>
      </c>
      <c r="Y179" s="53">
        <f>'[3]Forecast (pcs.)'!Y179</f>
        <v>0</v>
      </c>
      <c r="Z179" s="53">
        <f>'[3]Forecast (pcs.)'!Z179</f>
        <v>0</v>
      </c>
      <c r="AA179" s="53">
        <f>'[3]Forecast (pcs.)'!AA179</f>
        <v>0</v>
      </c>
      <c r="AB179" s="53">
        <f>'[3]Forecast (pcs.)'!AB179</f>
        <v>0</v>
      </c>
      <c r="AD179" s="6">
        <f t="shared" si="11"/>
        <v>0</v>
      </c>
    </row>
    <row r="180" spans="1:30" ht="15" customHeight="1" x14ac:dyDescent="0.25">
      <c r="A180" s="2">
        <v>6507</v>
      </c>
      <c r="B180" s="15" t="s">
        <v>343</v>
      </c>
      <c r="C180" s="15">
        <v>6507</v>
      </c>
      <c r="D180" s="16" t="s">
        <v>351</v>
      </c>
      <c r="E180" s="17">
        <v>5.12</v>
      </c>
      <c r="F180" s="18">
        <v>0</v>
      </c>
      <c r="G180" s="19"/>
      <c r="H180" s="19"/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53">
        <f>'[3]Forecast (pcs.)'!Q180</f>
        <v>0</v>
      </c>
      <c r="R180" s="53">
        <f>'[3]Forecast (pcs.)'!R180</f>
        <v>0</v>
      </c>
      <c r="S180" s="53">
        <f>'[3]Forecast (pcs.)'!S180</f>
        <v>0</v>
      </c>
      <c r="T180" s="53">
        <f>'[3]Forecast (pcs.)'!T180</f>
        <v>0</v>
      </c>
      <c r="U180" s="53">
        <f>'[3]Forecast (pcs.)'!U180</f>
        <v>0</v>
      </c>
      <c r="V180" s="53">
        <f>'[3]Forecast (pcs.)'!V180</f>
        <v>0</v>
      </c>
      <c r="W180" s="53">
        <f>'[3]Forecast (pcs.)'!W180</f>
        <v>0</v>
      </c>
      <c r="X180" s="53">
        <f>'[3]Forecast (pcs.)'!X180</f>
        <v>0</v>
      </c>
      <c r="Y180" s="53">
        <f>'[3]Forecast (pcs.)'!Y180</f>
        <v>0</v>
      </c>
      <c r="Z180" s="53">
        <f>'[3]Forecast (pcs.)'!Z180</f>
        <v>0</v>
      </c>
      <c r="AA180" s="53">
        <f>'[3]Forecast (pcs.)'!AA180</f>
        <v>0</v>
      </c>
      <c r="AB180" s="53">
        <f>'[3]Forecast (pcs.)'!AB180</f>
        <v>0</v>
      </c>
      <c r="AD180" s="6">
        <f t="shared" si="11"/>
        <v>0</v>
      </c>
    </row>
    <row r="181" spans="1:30" ht="15" customHeight="1" x14ac:dyDescent="0.25">
      <c r="A181" s="2">
        <v>6508</v>
      </c>
      <c r="B181" s="15" t="s">
        <v>343</v>
      </c>
      <c r="C181" s="15">
        <v>6508</v>
      </c>
      <c r="D181" s="16" t="s">
        <v>349</v>
      </c>
      <c r="E181" s="17">
        <v>5.33</v>
      </c>
      <c r="F181" s="18">
        <v>0</v>
      </c>
      <c r="G181" s="19"/>
      <c r="H181" s="19"/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53">
        <f>'[3]Forecast (pcs.)'!Q181</f>
        <v>0</v>
      </c>
      <c r="R181" s="53">
        <f>'[3]Forecast (pcs.)'!R181</f>
        <v>0</v>
      </c>
      <c r="S181" s="53">
        <f>'[3]Forecast (pcs.)'!S181</f>
        <v>0</v>
      </c>
      <c r="T181" s="53">
        <f>'[3]Forecast (pcs.)'!T181</f>
        <v>0</v>
      </c>
      <c r="U181" s="53">
        <f>'[3]Forecast (pcs.)'!U181</f>
        <v>0</v>
      </c>
      <c r="V181" s="53">
        <f>'[3]Forecast (pcs.)'!V181</f>
        <v>0</v>
      </c>
      <c r="W181" s="53">
        <f>'[3]Forecast (pcs.)'!W181</f>
        <v>0</v>
      </c>
      <c r="X181" s="53">
        <f>'[3]Forecast (pcs.)'!X181</f>
        <v>0</v>
      </c>
      <c r="Y181" s="53">
        <f>'[3]Forecast (pcs.)'!Y181</f>
        <v>0</v>
      </c>
      <c r="Z181" s="53">
        <f>'[3]Forecast (pcs.)'!Z181</f>
        <v>0</v>
      </c>
      <c r="AA181" s="53">
        <f>'[3]Forecast (pcs.)'!AA181</f>
        <v>0</v>
      </c>
      <c r="AB181" s="53">
        <f>'[3]Forecast (pcs.)'!AB181</f>
        <v>0</v>
      </c>
      <c r="AD181" s="6">
        <f t="shared" si="11"/>
        <v>0</v>
      </c>
    </row>
    <row r="182" spans="1:30" ht="15" customHeight="1" x14ac:dyDescent="0.25">
      <c r="A182" s="2">
        <v>6509</v>
      </c>
      <c r="B182" s="15" t="s">
        <v>343</v>
      </c>
      <c r="C182" s="15">
        <v>6509</v>
      </c>
      <c r="D182" s="16" t="s">
        <v>346</v>
      </c>
      <c r="E182" s="17">
        <v>5.27</v>
      </c>
      <c r="F182" s="18">
        <v>0</v>
      </c>
      <c r="G182" s="19"/>
      <c r="H182" s="19"/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53">
        <f>'[3]Forecast (pcs.)'!Q182</f>
        <v>0</v>
      </c>
      <c r="R182" s="53">
        <f>'[3]Forecast (pcs.)'!R182</f>
        <v>0</v>
      </c>
      <c r="S182" s="53">
        <f>'[3]Forecast (pcs.)'!S182</f>
        <v>0</v>
      </c>
      <c r="T182" s="53">
        <f>'[3]Forecast (pcs.)'!T182</f>
        <v>0</v>
      </c>
      <c r="U182" s="53">
        <f>'[3]Forecast (pcs.)'!U182</f>
        <v>0</v>
      </c>
      <c r="V182" s="53">
        <f>'[3]Forecast (pcs.)'!V182</f>
        <v>0</v>
      </c>
      <c r="W182" s="53">
        <f>'[3]Forecast (pcs.)'!W182</f>
        <v>0</v>
      </c>
      <c r="X182" s="53">
        <f>'[3]Forecast (pcs.)'!X182</f>
        <v>0</v>
      </c>
      <c r="Y182" s="53">
        <f>'[3]Forecast (pcs.)'!Y182</f>
        <v>0</v>
      </c>
      <c r="Z182" s="53">
        <f>'[3]Forecast (pcs.)'!Z182</f>
        <v>0</v>
      </c>
      <c r="AA182" s="53">
        <f>'[3]Forecast (pcs.)'!AA182</f>
        <v>0</v>
      </c>
      <c r="AB182" s="53">
        <f>'[3]Forecast (pcs.)'!AB182</f>
        <v>0</v>
      </c>
      <c r="AD182" s="6">
        <f t="shared" si="11"/>
        <v>0</v>
      </c>
    </row>
    <row r="183" spans="1:30" ht="15" customHeight="1" x14ac:dyDescent="0.25">
      <c r="A183" s="2">
        <v>6510</v>
      </c>
      <c r="B183" s="15" t="s">
        <v>343</v>
      </c>
      <c r="C183" s="15">
        <v>6510</v>
      </c>
      <c r="D183" s="16" t="s">
        <v>348</v>
      </c>
      <c r="E183" s="17">
        <v>7.07</v>
      </c>
      <c r="F183" s="18">
        <v>0</v>
      </c>
      <c r="G183" s="19"/>
      <c r="H183" s="19"/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53">
        <f>'[3]Forecast (pcs.)'!Q183</f>
        <v>0</v>
      </c>
      <c r="R183" s="53">
        <f>'[3]Forecast (pcs.)'!R183</f>
        <v>0</v>
      </c>
      <c r="S183" s="53">
        <f>'[3]Forecast (pcs.)'!S183</f>
        <v>0</v>
      </c>
      <c r="T183" s="53">
        <f>'[3]Forecast (pcs.)'!T183</f>
        <v>0</v>
      </c>
      <c r="U183" s="53">
        <f>'[3]Forecast (pcs.)'!U183</f>
        <v>0</v>
      </c>
      <c r="V183" s="53">
        <f>'[3]Forecast (pcs.)'!V183</f>
        <v>0</v>
      </c>
      <c r="W183" s="53">
        <f>'[3]Forecast (pcs.)'!W183</f>
        <v>0</v>
      </c>
      <c r="X183" s="53">
        <f>'[3]Forecast (pcs.)'!X183</f>
        <v>0</v>
      </c>
      <c r="Y183" s="53">
        <f>'[3]Forecast (pcs.)'!Y183</f>
        <v>0</v>
      </c>
      <c r="Z183" s="53">
        <f>'[3]Forecast (pcs.)'!Z183</f>
        <v>0</v>
      </c>
      <c r="AA183" s="53">
        <f>'[3]Forecast (pcs.)'!AA183</f>
        <v>0</v>
      </c>
      <c r="AB183" s="53">
        <f>'[3]Forecast (pcs.)'!AB183</f>
        <v>0</v>
      </c>
      <c r="AD183" s="6">
        <f t="shared" si="11"/>
        <v>0</v>
      </c>
    </row>
    <row r="184" spans="1:30" ht="15" customHeight="1" x14ac:dyDescent="0.25">
      <c r="A184" s="2">
        <v>6094</v>
      </c>
      <c r="B184" s="15" t="s">
        <v>362</v>
      </c>
      <c r="C184" s="15">
        <v>6094</v>
      </c>
      <c r="D184" s="16" t="s">
        <v>363</v>
      </c>
      <c r="E184" s="17">
        <v>5.36</v>
      </c>
      <c r="F184" s="18">
        <v>2481</v>
      </c>
      <c r="G184" s="21">
        <v>4849</v>
      </c>
      <c r="H184" s="23">
        <v>8029</v>
      </c>
      <c r="I184" s="22">
        <v>6463</v>
      </c>
      <c r="J184" s="22">
        <v>6844</v>
      </c>
      <c r="K184" s="22">
        <v>9075</v>
      </c>
      <c r="L184" s="22">
        <v>9434</v>
      </c>
      <c r="M184" s="22">
        <v>5615</v>
      </c>
      <c r="N184" s="22">
        <v>11807</v>
      </c>
      <c r="O184" s="22">
        <v>7190</v>
      </c>
      <c r="P184" s="22">
        <v>12000</v>
      </c>
      <c r="Q184" s="53">
        <f>'[3]Forecast (pcs.)'!Q184</f>
        <v>10841</v>
      </c>
      <c r="R184" s="53">
        <f>'[3]Forecast (pcs.)'!R184</f>
        <v>0</v>
      </c>
      <c r="S184" s="53">
        <f>'[3]Forecast (pcs.)'!S184</f>
        <v>12826</v>
      </c>
      <c r="T184" s="53">
        <f>'[3]Forecast (pcs.)'!T184</f>
        <v>6000</v>
      </c>
      <c r="U184" s="53">
        <f>'[3]Forecast (pcs.)'!U184</f>
        <v>6428.7479779315736</v>
      </c>
      <c r="V184" s="53">
        <f>'[3]Forecast (pcs.)'!V184</f>
        <v>6403.3358602640228</v>
      </c>
      <c r="W184" s="53">
        <f>'[3]Forecast (pcs.)'!W184</f>
        <v>6460.8840668914536</v>
      </c>
      <c r="X184" s="53">
        <f>'[3]Forecast (pcs.)'!X184</f>
        <v>6207.6359081708006</v>
      </c>
      <c r="Y184" s="53">
        <f>'[3]Forecast (pcs.)'!Y184</f>
        <v>6462.686544889465</v>
      </c>
      <c r="Z184" s="53">
        <f>'[3]Forecast (pcs.)'!Z184</f>
        <v>6522.5042351780285</v>
      </c>
      <c r="AA184" s="53">
        <f>'[3]Forecast (pcs.)'!AA184</f>
        <v>6351.8013705111562</v>
      </c>
      <c r="AB184" s="53">
        <f>'[3]Forecast (pcs.)'!AB184</f>
        <v>5316.5374751118698</v>
      </c>
      <c r="AD184" s="6">
        <f t="shared" ref="AD184:AD189" si="12">AVERAGE(O184:AB184)</f>
        <v>7072.2238170677401</v>
      </c>
    </row>
    <row r="185" spans="1:30" ht="15" customHeight="1" x14ac:dyDescent="0.25">
      <c r="A185" s="2">
        <v>6099</v>
      </c>
      <c r="B185" s="15" t="s">
        <v>362</v>
      </c>
      <c r="C185" s="15">
        <v>6099</v>
      </c>
      <c r="D185" s="16" t="s">
        <v>364</v>
      </c>
      <c r="E185" s="17">
        <v>8.4</v>
      </c>
      <c r="F185" s="18">
        <v>0</v>
      </c>
      <c r="G185" s="32">
        <v>0</v>
      </c>
      <c r="H185" s="43">
        <v>2668</v>
      </c>
      <c r="I185" s="22">
        <v>0</v>
      </c>
      <c r="J185" s="22">
        <v>0</v>
      </c>
      <c r="K185" s="22">
        <v>3075</v>
      </c>
      <c r="L185" s="22">
        <v>1111</v>
      </c>
      <c r="M185" s="22">
        <v>808</v>
      </c>
      <c r="N185" s="22">
        <v>0</v>
      </c>
      <c r="O185" s="22">
        <v>0</v>
      </c>
      <c r="P185" s="22">
        <v>3000</v>
      </c>
      <c r="Q185" s="53">
        <f>'[3]Forecast (pcs.)'!Q185</f>
        <v>0</v>
      </c>
      <c r="R185" s="53">
        <f>'[3]Forecast (pcs.)'!R185</f>
        <v>0</v>
      </c>
      <c r="S185" s="53">
        <f>'[3]Forecast (pcs.)'!S185</f>
        <v>466</v>
      </c>
      <c r="T185" s="53">
        <f>'[3]Forecast (pcs.)'!T185</f>
        <v>3500</v>
      </c>
      <c r="U185" s="53">
        <f>'[3]Forecast (pcs.)'!U185</f>
        <v>919.50577138900087</v>
      </c>
      <c r="V185" s="53">
        <f>'[3]Forecast (pcs.)'!V185</f>
        <v>915.87106849836937</v>
      </c>
      <c r="W185" s="53">
        <f>'[3]Forecast (pcs.)'!W185</f>
        <v>924.10220593114127</v>
      </c>
      <c r="X185" s="53">
        <f>'[3]Forecast (pcs.)'!X185</f>
        <v>887.88004504746004</v>
      </c>
      <c r="Y185" s="53">
        <f>'[3]Forecast (pcs.)'!Y185</f>
        <v>924.36001490540229</v>
      </c>
      <c r="Z185" s="53">
        <f>'[3]Forecast (pcs.)'!Z185</f>
        <v>932.91575727394832</v>
      </c>
      <c r="AA185" s="53">
        <f>'[3]Forecast (pcs.)'!AA185</f>
        <v>908.50007481250475</v>
      </c>
      <c r="AB185" s="53">
        <f>'[3]Forecast (pcs.)'!AB185</f>
        <v>760.42596613721287</v>
      </c>
      <c r="AD185" s="6">
        <f t="shared" si="12"/>
        <v>1009.9686359996456</v>
      </c>
    </row>
    <row r="186" spans="1:30" ht="15" customHeight="1" x14ac:dyDescent="0.25">
      <c r="A186" s="2">
        <v>6157</v>
      </c>
      <c r="B186" s="15" t="s">
        <v>362</v>
      </c>
      <c r="C186" s="15">
        <v>6157</v>
      </c>
      <c r="D186" s="16" t="s">
        <v>365</v>
      </c>
      <c r="E186" s="17">
        <v>10.32</v>
      </c>
      <c r="F186" s="18">
        <v>0</v>
      </c>
      <c r="G186" s="32">
        <v>0</v>
      </c>
      <c r="H186" s="18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53">
        <f>'[3]Forecast (pcs.)'!Q186</f>
        <v>0</v>
      </c>
      <c r="R186" s="53">
        <f>'[3]Forecast (pcs.)'!R186</f>
        <v>0</v>
      </c>
      <c r="S186" s="53">
        <f>'[3]Forecast (pcs.)'!S186</f>
        <v>0</v>
      </c>
      <c r="T186" s="53">
        <f>'[3]Forecast (pcs.)'!T186</f>
        <v>0</v>
      </c>
      <c r="U186" s="53">
        <f>'[3]Forecast (pcs.)'!U186</f>
        <v>0</v>
      </c>
      <c r="V186" s="53">
        <f>'[3]Forecast (pcs.)'!V186</f>
        <v>0</v>
      </c>
      <c r="W186" s="53">
        <f>'[3]Forecast (pcs.)'!W186</f>
        <v>0</v>
      </c>
      <c r="X186" s="53">
        <f>'[3]Forecast (pcs.)'!X186</f>
        <v>0</v>
      </c>
      <c r="Y186" s="53">
        <f>'[3]Forecast (pcs.)'!Y186</f>
        <v>0</v>
      </c>
      <c r="Z186" s="53">
        <f>'[3]Forecast (pcs.)'!Z186</f>
        <v>0</v>
      </c>
      <c r="AA186" s="53">
        <f>'[3]Forecast (pcs.)'!AA186</f>
        <v>0</v>
      </c>
      <c r="AB186" s="53">
        <f>'[3]Forecast (pcs.)'!AB186</f>
        <v>0</v>
      </c>
      <c r="AD186" s="6">
        <f t="shared" si="12"/>
        <v>0</v>
      </c>
    </row>
    <row r="187" spans="1:30" ht="15" customHeight="1" x14ac:dyDescent="0.25">
      <c r="A187" s="2">
        <v>6158</v>
      </c>
      <c r="B187" s="15" t="s">
        <v>362</v>
      </c>
      <c r="C187" s="15">
        <v>6158</v>
      </c>
      <c r="D187" s="16" t="s">
        <v>366</v>
      </c>
      <c r="E187" s="17">
        <v>18.77</v>
      </c>
      <c r="F187" s="18">
        <v>0</v>
      </c>
      <c r="G187" s="32">
        <v>0</v>
      </c>
      <c r="H187" s="18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53">
        <f>'[3]Forecast (pcs.)'!Q187</f>
        <v>0</v>
      </c>
      <c r="R187" s="53">
        <f>'[3]Forecast (pcs.)'!R187</f>
        <v>0</v>
      </c>
      <c r="S187" s="53">
        <f>'[3]Forecast (pcs.)'!S187</f>
        <v>0</v>
      </c>
      <c r="T187" s="53">
        <f>'[3]Forecast (pcs.)'!T187</f>
        <v>0</v>
      </c>
      <c r="U187" s="53">
        <f>'[3]Forecast (pcs.)'!U187</f>
        <v>0</v>
      </c>
      <c r="V187" s="53">
        <f>'[3]Forecast (pcs.)'!V187</f>
        <v>0</v>
      </c>
      <c r="W187" s="53">
        <f>'[3]Forecast (pcs.)'!W187</f>
        <v>0</v>
      </c>
      <c r="X187" s="53">
        <f>'[3]Forecast (pcs.)'!X187</f>
        <v>0</v>
      </c>
      <c r="Y187" s="53">
        <f>'[3]Forecast (pcs.)'!Y187</f>
        <v>0</v>
      </c>
      <c r="Z187" s="53">
        <f>'[3]Forecast (pcs.)'!Z187</f>
        <v>0</v>
      </c>
      <c r="AA187" s="53">
        <f>'[3]Forecast (pcs.)'!AA187</f>
        <v>0</v>
      </c>
      <c r="AB187" s="53">
        <f>'[3]Forecast (pcs.)'!AB187</f>
        <v>0</v>
      </c>
      <c r="AD187" s="6">
        <f t="shared" si="12"/>
        <v>0</v>
      </c>
    </row>
    <row r="188" spans="1:30" ht="15" customHeight="1" x14ac:dyDescent="0.25">
      <c r="A188" s="2">
        <v>6159</v>
      </c>
      <c r="B188" s="15" t="s">
        <v>362</v>
      </c>
      <c r="C188" s="15">
        <v>6159</v>
      </c>
      <c r="D188" s="16" t="s">
        <v>367</v>
      </c>
      <c r="E188" s="17">
        <v>12.52</v>
      </c>
      <c r="F188" s="18">
        <v>3648</v>
      </c>
      <c r="G188" s="21">
        <v>5607</v>
      </c>
      <c r="H188" s="6">
        <v>1538</v>
      </c>
      <c r="I188" s="22">
        <v>2786</v>
      </c>
      <c r="J188" s="22">
        <v>0</v>
      </c>
      <c r="K188" s="22">
        <v>8938</v>
      </c>
      <c r="L188" s="22">
        <v>4946</v>
      </c>
      <c r="M188" s="22">
        <v>0</v>
      </c>
      <c r="N188" s="22">
        <v>12634</v>
      </c>
      <c r="O188" s="22">
        <v>4806</v>
      </c>
      <c r="P188" s="22">
        <v>10000</v>
      </c>
      <c r="Q188" s="53">
        <f>'[3]Forecast (pcs.)'!Q188</f>
        <v>6151</v>
      </c>
      <c r="R188" s="53">
        <f>'[3]Forecast (pcs.)'!R188</f>
        <v>2995</v>
      </c>
      <c r="S188" s="53">
        <f>'[3]Forecast (pcs.)'!S188</f>
        <v>9983</v>
      </c>
      <c r="T188" s="53">
        <f>'[3]Forecast (pcs.)'!T188</f>
        <v>23000</v>
      </c>
      <c r="U188" s="53">
        <f>'[3]Forecast (pcs.)'!U188</f>
        <v>5561.8843448669159</v>
      </c>
      <c r="V188" s="53">
        <f>'[3]Forecast (pcs.)'!V188</f>
        <v>5539.8988416382535</v>
      </c>
      <c r="W188" s="53">
        <f>'[3]Forecast (pcs.)'!W188</f>
        <v>5589.687147326239</v>
      </c>
      <c r="X188" s="53">
        <f>'[3]Forecast (pcs.)'!X188</f>
        <v>5370.5874137249284</v>
      </c>
      <c r="Y188" s="53">
        <f>'[3]Forecast (pcs.)'!Y188</f>
        <v>5591.2465760351442</v>
      </c>
      <c r="Z188" s="53">
        <f>'[3]Forecast (pcs.)'!Z188</f>
        <v>5642.998344233888</v>
      </c>
      <c r="AA188" s="53">
        <f>'[3]Forecast (pcs.)'!AA188</f>
        <v>5495.3133527123991</v>
      </c>
      <c r="AB188" s="53">
        <f>'[3]Forecast (pcs.)'!AB188</f>
        <v>4599.6462535520041</v>
      </c>
      <c r="AD188" s="6">
        <f t="shared" si="12"/>
        <v>7166.1615910064138</v>
      </c>
    </row>
    <row r="189" spans="1:30" ht="15" customHeight="1" x14ac:dyDescent="0.25">
      <c r="A189" s="2">
        <v>6160</v>
      </c>
      <c r="B189" s="15" t="s">
        <v>362</v>
      </c>
      <c r="C189" s="15">
        <v>6160</v>
      </c>
      <c r="D189" s="16" t="s">
        <v>368</v>
      </c>
      <c r="E189" s="17">
        <v>6.1</v>
      </c>
      <c r="F189" s="18">
        <v>0</v>
      </c>
      <c r="G189" s="21">
        <v>5066</v>
      </c>
      <c r="H189" s="23">
        <v>1345</v>
      </c>
      <c r="I189" s="22">
        <v>4883</v>
      </c>
      <c r="J189" s="22">
        <v>0</v>
      </c>
      <c r="K189" s="22">
        <v>4477</v>
      </c>
      <c r="L189" s="22">
        <v>0</v>
      </c>
      <c r="M189" s="22">
        <v>0</v>
      </c>
      <c r="N189" s="22">
        <v>9586</v>
      </c>
      <c r="O189" s="22">
        <v>0</v>
      </c>
      <c r="P189" s="22">
        <v>10000</v>
      </c>
      <c r="Q189" s="53">
        <f>'[3]Forecast (pcs.)'!Q189</f>
        <v>2979</v>
      </c>
      <c r="R189" s="53">
        <f>'[3]Forecast (pcs.)'!R189</f>
        <v>21566</v>
      </c>
      <c r="S189" s="53">
        <f>'[3]Forecast (pcs.)'!S189</f>
        <v>0</v>
      </c>
      <c r="T189" s="53">
        <f>'[3]Forecast (pcs.)'!T189</f>
        <v>26000</v>
      </c>
      <c r="U189" s="53">
        <f>'[3]Forecast (pcs.)'!U189</f>
        <v>5301.6174570330795</v>
      </c>
      <c r="V189" s="53">
        <f>'[3]Forecast (pcs.)'!V189</f>
        <v>5280.6607595378673</v>
      </c>
      <c r="W189" s="53">
        <f>'[3]Forecast (pcs.)'!W189</f>
        <v>5328.1192347999668</v>
      </c>
      <c r="X189" s="53">
        <f>'[3]Forecast (pcs.)'!X189</f>
        <v>5119.2722145335283</v>
      </c>
      <c r="Y189" s="53">
        <f>'[3]Forecast (pcs.)'!Y189</f>
        <v>5329.6056904602256</v>
      </c>
      <c r="Z189" s="53">
        <f>'[3]Forecast (pcs.)'!Z189</f>
        <v>5378.9357485309229</v>
      </c>
      <c r="AA189" s="53">
        <f>'[3]Forecast (pcs.)'!AA189</f>
        <v>5238.1616366214021</v>
      </c>
      <c r="AB189" s="53">
        <f>'[3]Forecast (pcs.)'!AB189</f>
        <v>4384.4070394080809</v>
      </c>
      <c r="AD189" s="6">
        <f t="shared" si="12"/>
        <v>7278.9842700660765</v>
      </c>
    </row>
    <row r="190" spans="1:30" ht="15" customHeight="1" x14ac:dyDescent="0.25">
      <c r="A190" s="2">
        <v>6161</v>
      </c>
      <c r="B190" s="15" t="s">
        <v>362</v>
      </c>
      <c r="C190" s="15">
        <v>6161</v>
      </c>
      <c r="D190" s="16" t="s">
        <v>369</v>
      </c>
      <c r="E190" s="17">
        <v>9.5299999999999994</v>
      </c>
      <c r="F190" s="18">
        <v>0</v>
      </c>
      <c r="G190" s="21">
        <v>0</v>
      </c>
      <c r="H190" s="23">
        <v>0</v>
      </c>
      <c r="I190" s="22">
        <v>3980</v>
      </c>
      <c r="J190" s="22">
        <v>0</v>
      </c>
      <c r="K190" s="22">
        <v>0</v>
      </c>
      <c r="L190" s="22">
        <v>0</v>
      </c>
      <c r="M190" s="22">
        <v>3054</v>
      </c>
      <c r="N190" s="22">
        <v>0</v>
      </c>
      <c r="O190" s="22">
        <v>0</v>
      </c>
      <c r="P190" s="22">
        <v>0</v>
      </c>
      <c r="Q190" s="53">
        <f>'[3]Forecast (pcs.)'!Q190</f>
        <v>0</v>
      </c>
      <c r="R190" s="53">
        <f>'[3]Forecast (pcs.)'!R190</f>
        <v>0</v>
      </c>
      <c r="S190" s="53">
        <f>'[3]Forecast (pcs.)'!S190</f>
        <v>0</v>
      </c>
      <c r="T190" s="53">
        <f>'[3]Forecast (pcs.)'!T190</f>
        <v>0</v>
      </c>
      <c r="U190" s="53">
        <f>'[3]Forecast (pcs.)'!U190</f>
        <v>793.61486822519612</v>
      </c>
      <c r="V190" s="53">
        <f>'[3]Forecast (pcs.)'!V190</f>
        <v>790.47779791488267</v>
      </c>
      <c r="W190" s="53">
        <f>'[3]Forecast (pcs.)'!W190</f>
        <v>797.58199807578546</v>
      </c>
      <c r="X190" s="53">
        <f>'[3]Forecast (pcs.)'!X190</f>
        <v>766.31906712853288</v>
      </c>
      <c r="Y190" s="53">
        <f>'[3]Forecast (pcs.)'!Y190</f>
        <v>797.80451003982273</v>
      </c>
      <c r="Z190" s="53">
        <f>'[3]Forecast (pcs.)'!Z190</f>
        <v>805.18887299180892</v>
      </c>
      <c r="AA190" s="53">
        <f>'[3]Forecast (pcs.)'!AA190</f>
        <v>784.1159779408116</v>
      </c>
      <c r="AB190" s="53">
        <f>'[3]Forecast (pcs.)'!AB190</f>
        <v>656.31491578283374</v>
      </c>
      <c r="AD190" s="6">
        <f>AVERAGE(Q190:S190)</f>
        <v>0</v>
      </c>
    </row>
    <row r="191" spans="1:30" ht="15" customHeight="1" x14ac:dyDescent="0.25">
      <c r="A191" s="2">
        <v>6214</v>
      </c>
      <c r="B191" s="15" t="s">
        <v>362</v>
      </c>
      <c r="C191" s="15">
        <v>6214</v>
      </c>
      <c r="D191" s="16" t="s">
        <v>370</v>
      </c>
      <c r="E191" s="17">
        <v>16.399999999999999</v>
      </c>
      <c r="F191" s="18">
        <v>4666</v>
      </c>
      <c r="G191" s="21">
        <v>1442</v>
      </c>
      <c r="H191" s="23">
        <v>0</v>
      </c>
      <c r="I191" s="22">
        <v>2389</v>
      </c>
      <c r="J191" s="22">
        <v>367</v>
      </c>
      <c r="K191" s="22">
        <v>0</v>
      </c>
      <c r="L191" s="22">
        <v>0</v>
      </c>
      <c r="M191" s="22">
        <v>3068</v>
      </c>
      <c r="N191" s="22">
        <v>947</v>
      </c>
      <c r="O191" s="22">
        <v>864</v>
      </c>
      <c r="P191" s="22">
        <v>0</v>
      </c>
      <c r="Q191" s="53">
        <f>'[3]Forecast (pcs.)'!Q191</f>
        <v>0</v>
      </c>
      <c r="R191" s="53">
        <f>'[3]Forecast (pcs.)'!R191</f>
        <v>0</v>
      </c>
      <c r="S191" s="53">
        <f>'[3]Forecast (pcs.)'!S191</f>
        <v>0</v>
      </c>
      <c r="T191" s="53">
        <f>'[3]Forecast (pcs.)'!T191</f>
        <v>0</v>
      </c>
      <c r="U191" s="53">
        <f>'[3]Forecast (pcs.)'!U191</f>
        <v>781.83965307369851</v>
      </c>
      <c r="V191" s="53">
        <f>'[3]Forecast (pcs.)'!V191</f>
        <v>778.74912886443269</v>
      </c>
      <c r="W191" s="53">
        <f>'[3]Forecast (pcs.)'!W191</f>
        <v>785.74792086235459</v>
      </c>
      <c r="X191" s="53">
        <f>'[3]Forecast (pcs.)'!X191</f>
        <v>754.94885186238832</v>
      </c>
      <c r="Y191" s="53">
        <f>'[3]Forecast (pcs.)'!Y191</f>
        <v>785.96713131787033</v>
      </c>
      <c r="Z191" s="53">
        <f>'[3]Forecast (pcs.)'!Z191</f>
        <v>793.24192920750966</v>
      </c>
      <c r="AA191" s="53">
        <f>'[3]Forecast (pcs.)'!AA191</f>
        <v>772.48170202984159</v>
      </c>
      <c r="AB191" s="53">
        <f>'[3]Forecast (pcs.)'!AB191</f>
        <v>646.57688081158494</v>
      </c>
      <c r="AD191" s="6">
        <f>AVERAGE(Q191:S191)</f>
        <v>0</v>
      </c>
    </row>
    <row r="192" spans="1:30" ht="15" customHeight="1" x14ac:dyDescent="0.25">
      <c r="A192" s="2">
        <v>6502</v>
      </c>
      <c r="B192" s="15" t="s">
        <v>362</v>
      </c>
      <c r="C192" s="15">
        <v>6502</v>
      </c>
      <c r="D192" s="16" t="s">
        <v>371</v>
      </c>
      <c r="E192" s="17">
        <v>8.49</v>
      </c>
      <c r="F192" s="18">
        <v>4666</v>
      </c>
      <c r="G192" s="21">
        <v>3587</v>
      </c>
      <c r="H192" s="6">
        <v>0</v>
      </c>
      <c r="I192" s="22">
        <v>2685</v>
      </c>
      <c r="J192" s="22">
        <v>3755</v>
      </c>
      <c r="K192" s="22">
        <v>4084</v>
      </c>
      <c r="L192" s="22">
        <v>2157</v>
      </c>
      <c r="M192" s="22">
        <v>0</v>
      </c>
      <c r="N192" s="22">
        <v>0</v>
      </c>
      <c r="O192" s="22">
        <v>6915</v>
      </c>
      <c r="P192" s="22">
        <v>0</v>
      </c>
      <c r="Q192" s="53">
        <f>'[3]Forecast (pcs.)'!Q192</f>
        <v>4511</v>
      </c>
      <c r="R192" s="53">
        <f>'[3]Forecast (pcs.)'!R192</f>
        <v>3955</v>
      </c>
      <c r="S192" s="53">
        <f>'[3]Forecast (pcs.)'!S192</f>
        <v>0</v>
      </c>
      <c r="T192" s="53">
        <f>'[3]Forecast (pcs.)'!T192</f>
        <v>4000</v>
      </c>
      <c r="U192" s="53">
        <f>'[3]Forecast (pcs.)'!U192</f>
        <v>1457.356039926522</v>
      </c>
      <c r="V192" s="53">
        <f>'[3]Forecast (pcs.)'!V192</f>
        <v>1451.5952754203911</v>
      </c>
      <c r="W192" s="53">
        <f>'[3]Forecast (pcs.)'!W192</f>
        <v>1464.6410857093192</v>
      </c>
      <c r="X192" s="53">
        <f>'[3]Forecast (pcs.)'!X192</f>
        <v>1407.2313482334132</v>
      </c>
      <c r="Y192" s="53">
        <f>'[3]Forecast (pcs.)'!Y192</f>
        <v>1465.0496959404645</v>
      </c>
      <c r="Z192" s="53">
        <f>'[3]Forecast (pcs.)'!Z192</f>
        <v>1478.6099836567889</v>
      </c>
      <c r="AA192" s="53">
        <f>'[3]Forecast (pcs.)'!AA192</f>
        <v>1439.9127362753372</v>
      </c>
      <c r="AB192" s="53">
        <f>'[3]Forecast (pcs.)'!AB192</f>
        <v>1205.2250340886599</v>
      </c>
      <c r="AD192" s="6">
        <f>AVERAGE(Q192:S192)</f>
        <v>2822</v>
      </c>
    </row>
    <row r="193" spans="1:30" ht="15" customHeight="1" x14ac:dyDescent="0.25">
      <c r="A193" s="2">
        <v>6503</v>
      </c>
      <c r="B193" s="15" t="s">
        <v>362</v>
      </c>
      <c r="C193" s="15">
        <v>6503</v>
      </c>
      <c r="D193" s="16" t="s">
        <v>372</v>
      </c>
      <c r="E193" s="17">
        <v>34.85</v>
      </c>
      <c r="F193" s="18">
        <v>1129</v>
      </c>
      <c r="G193" s="21">
        <v>2559</v>
      </c>
      <c r="H193" s="6">
        <v>1316</v>
      </c>
      <c r="I193" s="22">
        <v>2101</v>
      </c>
      <c r="J193" s="22">
        <v>1919</v>
      </c>
      <c r="K193" s="22">
        <v>2943</v>
      </c>
      <c r="L193" s="22">
        <v>4225</v>
      </c>
      <c r="M193" s="22">
        <v>1474</v>
      </c>
      <c r="N193" s="22">
        <v>2149</v>
      </c>
      <c r="O193" s="22">
        <v>0</v>
      </c>
      <c r="P193" s="22">
        <v>5000</v>
      </c>
      <c r="Q193" s="53">
        <f>'[3]Forecast (pcs.)'!Q193</f>
        <v>3726</v>
      </c>
      <c r="R193" s="53">
        <f>'[3]Forecast (pcs.)'!R193</f>
        <v>4167</v>
      </c>
      <c r="S193" s="53">
        <f>'[3]Forecast (pcs.)'!S193</f>
        <v>2518</v>
      </c>
      <c r="T193" s="53">
        <f>'[3]Forecast (pcs.)'!T193</f>
        <v>3500</v>
      </c>
      <c r="U193" s="53">
        <f>'[3]Forecast (pcs.)'!U193</f>
        <v>1036.3920982604841</v>
      </c>
      <c r="V193" s="53">
        <f>'[3]Forecast (pcs.)'!V193</f>
        <v>1032.2953568668061</v>
      </c>
      <c r="W193" s="53">
        <f>'[3]Forecast (pcs.)'!W193</f>
        <v>1041.5728253291677</v>
      </c>
      <c r="X193" s="53">
        <f>'[3]Forecast (pcs.)'!X193</f>
        <v>1000.7461524687473</v>
      </c>
      <c r="Y193" s="53">
        <f>'[3]Forecast (pcs.)'!Y193</f>
        <v>1041.8634066306654</v>
      </c>
      <c r="Z193" s="53">
        <f>'[3]Forecast (pcs.)'!Z193</f>
        <v>1051.5067433680942</v>
      </c>
      <c r="AA193" s="53">
        <f>'[3]Forecast (pcs.)'!AA193</f>
        <v>1023.9873724581621</v>
      </c>
      <c r="AB193" s="53">
        <f>'[3]Forecast (pcs.)'!AB193</f>
        <v>857.0902838665196</v>
      </c>
      <c r="AD193" s="6">
        <f>AVERAGE(Q193:S193)</f>
        <v>3470.3333333333335</v>
      </c>
    </row>
    <row r="194" spans="1:30" ht="15" customHeight="1" x14ac:dyDescent="0.25">
      <c r="A194" s="2">
        <v>5201</v>
      </c>
      <c r="B194" s="15" t="s">
        <v>17</v>
      </c>
      <c r="C194" s="15">
        <v>5201</v>
      </c>
      <c r="D194" s="16" t="s">
        <v>373</v>
      </c>
      <c r="E194" s="17">
        <v>225.45</v>
      </c>
      <c r="F194" s="18">
        <v>21</v>
      </c>
      <c r="G194" s="44">
        <v>12</v>
      </c>
      <c r="H194" s="45">
        <v>14</v>
      </c>
      <c r="I194" s="22">
        <v>6</v>
      </c>
      <c r="J194" s="22">
        <v>9</v>
      </c>
      <c r="K194" s="22">
        <v>12</v>
      </c>
      <c r="L194" s="22">
        <v>17</v>
      </c>
      <c r="M194" s="22">
        <v>29</v>
      </c>
      <c r="N194" s="22">
        <v>9</v>
      </c>
      <c r="O194" s="22">
        <v>12</v>
      </c>
      <c r="P194" s="22">
        <v>16</v>
      </c>
      <c r="Q194" s="53">
        <f>'[3]Forecast (pcs.)'!Q194</f>
        <v>9</v>
      </c>
      <c r="R194" s="53">
        <f>'[3]Forecast (pcs.)'!R194</f>
        <v>8</v>
      </c>
      <c r="S194" s="53">
        <f>'[3]Forecast (pcs.)'!S194</f>
        <v>4</v>
      </c>
      <c r="T194" s="53">
        <f>'[3]Forecast (pcs.)'!T194</f>
        <v>9</v>
      </c>
      <c r="U194" s="53">
        <f>'[3]Forecast (pcs.)'!U194</f>
        <v>0</v>
      </c>
      <c r="V194" s="53">
        <f>'[3]Forecast (pcs.)'!V194</f>
        <v>0</v>
      </c>
      <c r="W194" s="53">
        <f>'[3]Forecast (pcs.)'!W194</f>
        <v>0</v>
      </c>
      <c r="X194" s="53">
        <f>'[3]Forecast (pcs.)'!X194</f>
        <v>0</v>
      </c>
      <c r="Y194" s="53">
        <f>'[3]Forecast (pcs.)'!Y194</f>
        <v>0</v>
      </c>
      <c r="Z194" s="53">
        <f>'[3]Forecast (pcs.)'!Z194</f>
        <v>0</v>
      </c>
      <c r="AA194" s="53">
        <f>'[3]Forecast (pcs.)'!AA194</f>
        <v>0</v>
      </c>
      <c r="AB194" s="53">
        <f>'[3]Forecast (pcs.)'!AB194</f>
        <v>0</v>
      </c>
      <c r="AD194" s="6">
        <f>AVERAGE(W194:Y194)</f>
        <v>0</v>
      </c>
    </row>
    <row r="195" spans="1:30" ht="15" customHeight="1" x14ac:dyDescent="0.25">
      <c r="A195" s="2">
        <v>5450</v>
      </c>
      <c r="B195" s="15" t="s">
        <v>17</v>
      </c>
      <c r="C195" s="15">
        <v>5450</v>
      </c>
      <c r="D195" s="16" t="s">
        <v>87</v>
      </c>
      <c r="E195" s="17">
        <v>107.61</v>
      </c>
      <c r="F195" s="18">
        <v>9513</v>
      </c>
      <c r="G195" s="21">
        <v>9919</v>
      </c>
      <c r="H195" s="6">
        <v>6063</v>
      </c>
      <c r="I195" s="22">
        <v>9938</v>
      </c>
      <c r="J195" s="22">
        <v>6125</v>
      </c>
      <c r="K195" s="22">
        <v>6906</v>
      </c>
      <c r="L195" s="22">
        <v>7189</v>
      </c>
      <c r="M195" s="22">
        <v>7777</v>
      </c>
      <c r="N195" s="22">
        <v>7305</v>
      </c>
      <c r="O195" s="22">
        <v>6558</v>
      </c>
      <c r="P195" s="22">
        <v>6363</v>
      </c>
      <c r="Q195" s="53">
        <f>'[3]Forecast (pcs.)'!Q195</f>
        <v>7206</v>
      </c>
      <c r="R195" s="53">
        <f>'[3]Forecast (pcs.)'!R195</f>
        <v>10985</v>
      </c>
      <c r="S195" s="53">
        <f>'[3]Forecast (pcs.)'!S195</f>
        <v>8173</v>
      </c>
      <c r="T195" s="53">
        <f>'[3]Forecast (pcs.)'!T195</f>
        <v>6542</v>
      </c>
      <c r="U195" s="53">
        <f>'[3]Forecast (pcs.)'!U195</f>
        <v>7530</v>
      </c>
      <c r="V195" s="53">
        <f>'[3]Forecast (pcs.)'!V195</f>
        <v>7236</v>
      </c>
      <c r="W195" s="53">
        <f>'[3]Forecast (pcs.)'!W195</f>
        <v>6423</v>
      </c>
      <c r="X195" s="53">
        <f>'[3]Forecast (pcs.)'!X195</f>
        <v>8304</v>
      </c>
      <c r="Y195" s="53">
        <f>'[3]Forecast (pcs.)'!Y195</f>
        <v>7534</v>
      </c>
      <c r="Z195" s="53">
        <f>'[3]Forecast (pcs.)'!Z195</f>
        <v>5823</v>
      </c>
      <c r="AA195" s="53">
        <f>'[3]Forecast (pcs.)'!AA195</f>
        <v>4879</v>
      </c>
      <c r="AB195" s="53">
        <f>'[3]Forecast (pcs.)'!AB195</f>
        <v>4413</v>
      </c>
      <c r="AD195" s="6">
        <f t="shared" ref="AD195:AD202" si="13">AVERAGE(Q195:AB195)</f>
        <v>7087.333333333333</v>
      </c>
    </row>
    <row r="196" spans="1:30" ht="15" customHeight="1" x14ac:dyDescent="0.25">
      <c r="A196" s="2">
        <v>5451</v>
      </c>
      <c r="B196" s="15" t="s">
        <v>17</v>
      </c>
      <c r="C196" s="15">
        <v>5451</v>
      </c>
      <c r="D196" s="16" t="s">
        <v>374</v>
      </c>
      <c r="E196" s="17">
        <v>79.400000000000006</v>
      </c>
      <c r="F196" s="18">
        <v>0</v>
      </c>
      <c r="G196" s="21">
        <v>0</v>
      </c>
      <c r="H196" s="6">
        <v>4</v>
      </c>
      <c r="I196" s="22">
        <v>1</v>
      </c>
      <c r="J196" s="22">
        <v>0</v>
      </c>
      <c r="K196" s="22">
        <v>0</v>
      </c>
      <c r="L196" s="22">
        <v>0</v>
      </c>
      <c r="M196" s="22">
        <v>15</v>
      </c>
      <c r="N196" s="22">
        <v>0</v>
      </c>
      <c r="O196" s="22">
        <v>0</v>
      </c>
      <c r="P196" s="22">
        <v>0</v>
      </c>
      <c r="Q196" s="53">
        <f>'[3]Forecast (pcs.)'!Q196</f>
        <v>1</v>
      </c>
      <c r="R196" s="53">
        <f>'[3]Forecast (pcs.)'!R196</f>
        <v>1</v>
      </c>
      <c r="S196" s="53">
        <f>'[3]Forecast (pcs.)'!S196</f>
        <v>0</v>
      </c>
      <c r="T196" s="53">
        <f>'[3]Forecast (pcs.)'!T196</f>
        <v>0</v>
      </c>
      <c r="U196" s="53">
        <f>'[3]Forecast (pcs.)'!U196</f>
        <v>0</v>
      </c>
      <c r="V196" s="53">
        <f>'[3]Forecast (pcs.)'!V196</f>
        <v>0</v>
      </c>
      <c r="W196" s="53">
        <f>'[3]Forecast (pcs.)'!W196</f>
        <v>0</v>
      </c>
      <c r="X196" s="53">
        <f>'[3]Forecast (pcs.)'!X196</f>
        <v>0</v>
      </c>
      <c r="Y196" s="53">
        <f>'[3]Forecast (pcs.)'!Y196</f>
        <v>0</v>
      </c>
      <c r="Z196" s="53">
        <f>'[3]Forecast (pcs.)'!Z196</f>
        <v>0</v>
      </c>
      <c r="AA196" s="53">
        <f>'[3]Forecast (pcs.)'!AA196</f>
        <v>0</v>
      </c>
      <c r="AB196" s="53">
        <f>'[3]Forecast (pcs.)'!AB196</f>
        <v>0</v>
      </c>
      <c r="AD196" s="6">
        <f t="shared" si="13"/>
        <v>0.16666666666666666</v>
      </c>
    </row>
    <row r="197" spans="1:30" ht="15" customHeight="1" x14ac:dyDescent="0.25">
      <c r="A197" s="2">
        <v>5479</v>
      </c>
      <c r="B197" s="15" t="s">
        <v>17</v>
      </c>
      <c r="C197" s="15">
        <v>5479</v>
      </c>
      <c r="D197" s="16" t="s">
        <v>100</v>
      </c>
      <c r="E197" s="17">
        <v>46.97</v>
      </c>
      <c r="F197" s="18">
        <v>2000</v>
      </c>
      <c r="G197" s="21">
        <v>952</v>
      </c>
      <c r="H197" s="6">
        <v>0</v>
      </c>
      <c r="I197" s="22">
        <v>1000</v>
      </c>
      <c r="J197" s="22">
        <v>0</v>
      </c>
      <c r="K197" s="22">
        <v>0</v>
      </c>
      <c r="L197" s="22">
        <v>1936</v>
      </c>
      <c r="M197" s="22">
        <v>2064</v>
      </c>
      <c r="N197" s="22">
        <v>2000</v>
      </c>
      <c r="O197" s="22">
        <v>1000</v>
      </c>
      <c r="P197" s="22">
        <v>0</v>
      </c>
      <c r="Q197" s="53">
        <f>'[3]Forecast (pcs.)'!Q197</f>
        <v>0</v>
      </c>
      <c r="R197" s="53">
        <f>'[3]Forecast (pcs.)'!R197</f>
        <v>6000</v>
      </c>
      <c r="S197" s="53">
        <f>'[3]Forecast (pcs.)'!S197</f>
        <v>1000</v>
      </c>
      <c r="T197" s="53">
        <f>'[3]Forecast (pcs.)'!T197</f>
        <v>0</v>
      </c>
      <c r="U197" s="53">
        <f>'[3]Forecast (pcs.)'!U197</f>
        <v>1000</v>
      </c>
      <c r="V197" s="53">
        <f>'[3]Forecast (pcs.)'!V197</f>
        <v>1000</v>
      </c>
      <c r="W197" s="53">
        <f>'[3]Forecast (pcs.)'!W197</f>
        <v>1000</v>
      </c>
      <c r="X197" s="53">
        <f>'[3]Forecast (pcs.)'!X197</f>
        <v>0</v>
      </c>
      <c r="Y197" s="53">
        <f>'[3]Forecast (pcs.)'!Y197</f>
        <v>0</v>
      </c>
      <c r="Z197" s="53">
        <f>'[3]Forecast (pcs.)'!Z197</f>
        <v>0</v>
      </c>
      <c r="AA197" s="53">
        <f>'[3]Forecast (pcs.)'!AA197</f>
        <v>0</v>
      </c>
      <c r="AB197" s="53">
        <f>'[3]Forecast (pcs.)'!AB197</f>
        <v>0</v>
      </c>
      <c r="AD197" s="6">
        <f t="shared" si="13"/>
        <v>833.33333333333337</v>
      </c>
    </row>
    <row r="198" spans="1:30" ht="15" customHeight="1" x14ac:dyDescent="0.25">
      <c r="A198" s="2">
        <v>5480</v>
      </c>
      <c r="B198" s="15" t="s">
        <v>17</v>
      </c>
      <c r="C198" s="15">
        <v>5480</v>
      </c>
      <c r="D198" s="16" t="s">
        <v>89</v>
      </c>
      <c r="E198" s="17">
        <v>66.69</v>
      </c>
      <c r="F198" s="18">
        <v>9495</v>
      </c>
      <c r="G198" s="21">
        <v>9919</v>
      </c>
      <c r="H198" s="6">
        <v>6062</v>
      </c>
      <c r="I198" s="22">
        <v>9936</v>
      </c>
      <c r="J198" s="22">
        <v>6142</v>
      </c>
      <c r="K198" s="22">
        <v>6905</v>
      </c>
      <c r="L198" s="22">
        <v>7204</v>
      </c>
      <c r="M198" s="22">
        <v>7732</v>
      </c>
      <c r="N198" s="22">
        <v>7320</v>
      </c>
      <c r="O198" s="22">
        <v>6574</v>
      </c>
      <c r="P198" s="22">
        <v>6334</v>
      </c>
      <c r="Q198" s="53">
        <f>'[3]Forecast (pcs.)'!Q198</f>
        <v>7203</v>
      </c>
      <c r="R198" s="53">
        <f>'[3]Forecast (pcs.)'!R198</f>
        <v>7572</v>
      </c>
      <c r="S198" s="53">
        <f>'[3]Forecast (pcs.)'!S198</f>
        <v>8190</v>
      </c>
      <c r="T198" s="53">
        <f>'[3]Forecast (pcs.)'!T198</f>
        <v>6511</v>
      </c>
      <c r="U198" s="53">
        <f>'[3]Forecast (pcs.)'!U198</f>
        <v>7560</v>
      </c>
      <c r="V198" s="53">
        <f>'[3]Forecast (pcs.)'!V198</f>
        <v>7236</v>
      </c>
      <c r="W198" s="53">
        <f>'[3]Forecast (pcs.)'!W198</f>
        <v>6423</v>
      </c>
      <c r="X198" s="53">
        <f>'[3]Forecast (pcs.)'!X198</f>
        <v>8304</v>
      </c>
      <c r="Y198" s="53">
        <f>'[3]Forecast (pcs.)'!Y198</f>
        <v>7534</v>
      </c>
      <c r="Z198" s="53">
        <f>'[3]Forecast (pcs.)'!Z198</f>
        <v>5823</v>
      </c>
      <c r="AA198" s="53">
        <f>'[3]Forecast (pcs.)'!AA198</f>
        <v>4879</v>
      </c>
      <c r="AB198" s="53">
        <f>'[3]Forecast (pcs.)'!AB198</f>
        <v>4413</v>
      </c>
      <c r="AD198" s="6">
        <f t="shared" si="13"/>
        <v>6804</v>
      </c>
    </row>
    <row r="199" spans="1:30" ht="15" customHeight="1" x14ac:dyDescent="0.25">
      <c r="A199" s="2">
        <v>6150</v>
      </c>
      <c r="B199" s="15" t="s">
        <v>17</v>
      </c>
      <c r="C199" s="15">
        <v>6150</v>
      </c>
      <c r="D199" s="16" t="s">
        <v>16</v>
      </c>
      <c r="E199" s="17">
        <v>234</v>
      </c>
      <c r="F199" s="18">
        <v>17697</v>
      </c>
      <c r="G199" s="21">
        <v>17392</v>
      </c>
      <c r="H199" s="6">
        <v>7007</v>
      </c>
      <c r="I199" s="22">
        <v>13055</v>
      </c>
      <c r="J199" s="22">
        <v>9775</v>
      </c>
      <c r="K199" s="22">
        <v>11048</v>
      </c>
      <c r="L199" s="22">
        <v>11019</v>
      </c>
      <c r="M199" s="22">
        <v>9801</v>
      </c>
      <c r="N199" s="22">
        <v>8779</v>
      </c>
      <c r="O199" s="22">
        <v>13842</v>
      </c>
      <c r="P199" s="22">
        <v>11573</v>
      </c>
      <c r="Q199" s="53">
        <f>'[3]Forecast (pcs.)'!Q199</f>
        <v>13971</v>
      </c>
      <c r="R199" s="53">
        <f>'[3]Forecast (pcs.)'!R199</f>
        <v>15846</v>
      </c>
      <c r="S199" s="53">
        <f>'[3]Forecast (pcs.)'!S199</f>
        <v>15116</v>
      </c>
      <c r="T199" s="53">
        <f>'[3]Forecast (pcs.)'!T199</f>
        <v>10800</v>
      </c>
      <c r="U199" s="53">
        <f>'[3]Forecast (pcs.)'!U199</f>
        <v>15480</v>
      </c>
      <c r="V199" s="53">
        <f>'[3]Forecast (pcs.)'!V199</f>
        <v>13084</v>
      </c>
      <c r="W199" s="53">
        <f>'[3]Forecast (pcs.)'!W199</f>
        <v>11581</v>
      </c>
      <c r="X199" s="53">
        <f>'[3]Forecast (pcs.)'!X199</f>
        <v>12042</v>
      </c>
      <c r="Y199" s="53">
        <f>'[3]Forecast (pcs.)'!Y199</f>
        <v>14206</v>
      </c>
      <c r="Z199" s="53">
        <f>'[3]Forecast (pcs.)'!Z199</f>
        <v>16486</v>
      </c>
      <c r="AA199" s="53">
        <f>'[3]Forecast (pcs.)'!AA199</f>
        <v>16652</v>
      </c>
      <c r="AB199" s="53">
        <f>'[3]Forecast (pcs.)'!AB199</f>
        <v>14829</v>
      </c>
      <c r="AD199" s="6">
        <f t="shared" si="13"/>
        <v>14174.416666666666</v>
      </c>
    </row>
    <row r="200" spans="1:30" ht="15" customHeight="1" x14ac:dyDescent="0.25">
      <c r="A200" s="2">
        <v>6155</v>
      </c>
      <c r="B200" s="15" t="s">
        <v>17</v>
      </c>
      <c r="C200" s="15">
        <v>6155</v>
      </c>
      <c r="D200" s="16" t="s">
        <v>24</v>
      </c>
      <c r="E200" s="17">
        <v>171.65</v>
      </c>
      <c r="F200" s="18">
        <v>11219</v>
      </c>
      <c r="G200" s="21">
        <v>10005</v>
      </c>
      <c r="H200" s="6">
        <v>8912</v>
      </c>
      <c r="I200" s="22">
        <v>12955</v>
      </c>
      <c r="J200" s="22">
        <v>8492</v>
      </c>
      <c r="K200" s="22">
        <v>10172</v>
      </c>
      <c r="L200" s="22">
        <v>9762</v>
      </c>
      <c r="M200" s="22">
        <v>9255</v>
      </c>
      <c r="N200" s="22">
        <v>8494</v>
      </c>
      <c r="O200" s="22">
        <v>7528</v>
      </c>
      <c r="P200" s="22">
        <v>7755</v>
      </c>
      <c r="Q200" s="53">
        <f>'[3]Forecast (pcs.)'!Q200</f>
        <v>10975</v>
      </c>
      <c r="R200" s="53">
        <f>'[3]Forecast (pcs.)'!R200</f>
        <v>10765</v>
      </c>
      <c r="S200" s="53">
        <f>'[3]Forecast (pcs.)'!S200</f>
        <v>12764</v>
      </c>
      <c r="T200" s="53">
        <f>'[3]Forecast (pcs.)'!T200</f>
        <v>9720</v>
      </c>
      <c r="U200" s="53">
        <f>'[3]Forecast (pcs.)'!U200</f>
        <v>11340</v>
      </c>
      <c r="V200" s="53">
        <f>'[3]Forecast (pcs.)'!V200</f>
        <v>10349</v>
      </c>
      <c r="W200" s="53">
        <f>'[3]Forecast (pcs.)'!W200</f>
        <v>9403</v>
      </c>
      <c r="X200" s="53">
        <f>'[3]Forecast (pcs.)'!X200</f>
        <v>10506</v>
      </c>
      <c r="Y200" s="53">
        <f>'[3]Forecast (pcs.)'!Y200</f>
        <v>10065</v>
      </c>
      <c r="Z200" s="53">
        <f>'[3]Forecast (pcs.)'!Z200</f>
        <v>10806</v>
      </c>
      <c r="AA200" s="53">
        <f>'[3]Forecast (pcs.)'!AA200</f>
        <v>9401</v>
      </c>
      <c r="AB200" s="53">
        <f>'[3]Forecast (pcs.)'!AB200</f>
        <v>9617</v>
      </c>
      <c r="AD200" s="6">
        <f t="shared" si="13"/>
        <v>10475.916666666666</v>
      </c>
    </row>
    <row r="201" spans="1:30" ht="15" customHeight="1" x14ac:dyDescent="0.25">
      <c r="A201" s="2">
        <v>6210</v>
      </c>
      <c r="B201" s="15" t="s">
        <v>17</v>
      </c>
      <c r="C201" s="15">
        <v>6210</v>
      </c>
      <c r="D201" s="16" t="s">
        <v>90</v>
      </c>
      <c r="E201" s="17">
        <v>188.82</v>
      </c>
      <c r="F201" s="18">
        <v>165</v>
      </c>
      <c r="G201" s="21">
        <v>450</v>
      </c>
      <c r="H201" s="6">
        <v>225</v>
      </c>
      <c r="I201" s="22">
        <v>90</v>
      </c>
      <c r="J201" s="22">
        <v>300</v>
      </c>
      <c r="K201" s="22">
        <v>225</v>
      </c>
      <c r="L201" s="22">
        <v>180</v>
      </c>
      <c r="M201" s="22">
        <v>210</v>
      </c>
      <c r="N201" s="22">
        <v>165</v>
      </c>
      <c r="O201" s="22">
        <v>180</v>
      </c>
      <c r="P201" s="22">
        <v>195</v>
      </c>
      <c r="Q201" s="53">
        <f>'[3]Forecast (pcs.)'!Q201</f>
        <v>345</v>
      </c>
      <c r="R201" s="53">
        <f>'[3]Forecast (pcs.)'!R201</f>
        <v>270</v>
      </c>
      <c r="S201" s="53">
        <f>'[3]Forecast (pcs.)'!S201</f>
        <v>480</v>
      </c>
      <c r="T201" s="53">
        <f>'[3]Forecast (pcs.)'!T201</f>
        <v>285</v>
      </c>
      <c r="U201" s="53">
        <f>'[3]Forecast (pcs.)'!U201</f>
        <v>285</v>
      </c>
      <c r="V201" s="53">
        <f>'[3]Forecast (pcs.)'!V201</f>
        <v>345</v>
      </c>
      <c r="W201" s="53">
        <f>'[3]Forecast (pcs.)'!W201</f>
        <v>195</v>
      </c>
      <c r="X201" s="53">
        <f>'[3]Forecast (pcs.)'!X201</f>
        <v>105</v>
      </c>
      <c r="Y201" s="53">
        <f>'[3]Forecast (pcs.)'!Y201</f>
        <v>45</v>
      </c>
      <c r="Z201" s="53">
        <f>'[3]Forecast (pcs.)'!Z201</f>
        <v>45</v>
      </c>
      <c r="AA201" s="53">
        <f>'[3]Forecast (pcs.)'!AA201</f>
        <v>165</v>
      </c>
      <c r="AB201" s="53">
        <f>'[3]Forecast (pcs.)'!AB201</f>
        <v>180</v>
      </c>
      <c r="AD201" s="6">
        <f t="shared" si="13"/>
        <v>228.75</v>
      </c>
    </row>
    <row r="202" spans="1:30" ht="15" customHeight="1" x14ac:dyDescent="0.25">
      <c r="A202" s="2">
        <v>6211</v>
      </c>
      <c r="B202" s="15" t="s">
        <v>17</v>
      </c>
      <c r="C202" s="15">
        <v>6211</v>
      </c>
      <c r="D202" s="16" t="s">
        <v>91</v>
      </c>
      <c r="E202" s="17">
        <v>135.05000000000001</v>
      </c>
      <c r="F202" s="18">
        <v>165</v>
      </c>
      <c r="G202" s="21">
        <v>450</v>
      </c>
      <c r="H202" s="6">
        <v>225</v>
      </c>
      <c r="I202" s="22">
        <v>90</v>
      </c>
      <c r="J202" s="22">
        <v>300</v>
      </c>
      <c r="K202" s="22">
        <v>225</v>
      </c>
      <c r="L202" s="22">
        <v>180</v>
      </c>
      <c r="M202" s="22">
        <v>210</v>
      </c>
      <c r="N202" s="22">
        <v>165</v>
      </c>
      <c r="O202" s="22">
        <v>180</v>
      </c>
      <c r="P202" s="22">
        <v>195</v>
      </c>
      <c r="Q202" s="53">
        <f>'[3]Forecast (pcs.)'!Q202</f>
        <v>345</v>
      </c>
      <c r="R202" s="53">
        <f>'[3]Forecast (pcs.)'!R202</f>
        <v>255</v>
      </c>
      <c r="S202" s="53">
        <f>'[3]Forecast (pcs.)'!S202</f>
        <v>495</v>
      </c>
      <c r="T202" s="53">
        <f>'[3]Forecast (pcs.)'!T202</f>
        <v>285</v>
      </c>
      <c r="U202" s="53">
        <f>'[3]Forecast (pcs.)'!U202</f>
        <v>300</v>
      </c>
      <c r="V202" s="53">
        <f>'[3]Forecast (pcs.)'!V202</f>
        <v>345</v>
      </c>
      <c r="W202" s="53">
        <f>'[3]Forecast (pcs.)'!W202</f>
        <v>195</v>
      </c>
      <c r="X202" s="53">
        <f>'[3]Forecast (pcs.)'!X202</f>
        <v>105</v>
      </c>
      <c r="Y202" s="53">
        <f>'[3]Forecast (pcs.)'!Y202</f>
        <v>45</v>
      </c>
      <c r="Z202" s="53">
        <f>'[3]Forecast (pcs.)'!Z202</f>
        <v>45</v>
      </c>
      <c r="AA202" s="53">
        <f>'[3]Forecast (pcs.)'!AA202</f>
        <v>165</v>
      </c>
      <c r="AB202" s="53">
        <f>'[3]Forecast (pcs.)'!AB202</f>
        <v>180</v>
      </c>
      <c r="AD202" s="6">
        <f t="shared" si="13"/>
        <v>230</v>
      </c>
    </row>
    <row r="203" spans="1:30" ht="15" customHeight="1" x14ac:dyDescent="0.25">
      <c r="A203" s="2">
        <v>6101</v>
      </c>
      <c r="B203" s="15" t="s">
        <v>375</v>
      </c>
      <c r="C203" s="15">
        <v>6101</v>
      </c>
      <c r="D203" s="16" t="s">
        <v>376</v>
      </c>
      <c r="E203" s="17">
        <v>272.77999999999997</v>
      </c>
      <c r="F203" s="18">
        <v>1980</v>
      </c>
      <c r="G203" s="21">
        <v>1080</v>
      </c>
      <c r="H203" s="6">
        <v>1620</v>
      </c>
      <c r="I203" s="22">
        <v>2520</v>
      </c>
      <c r="J203" s="22">
        <v>1620</v>
      </c>
      <c r="K203" s="22">
        <v>0</v>
      </c>
      <c r="L203" s="22">
        <v>900</v>
      </c>
      <c r="M203" s="22">
        <v>0</v>
      </c>
      <c r="N203" s="22">
        <v>0</v>
      </c>
      <c r="O203" s="22">
        <v>900</v>
      </c>
      <c r="P203" s="22">
        <v>500</v>
      </c>
      <c r="Q203" s="53">
        <f>'[3]Forecast (pcs.)'!Q203</f>
        <v>1238</v>
      </c>
      <c r="R203" s="53">
        <f>'[3]Forecast (pcs.)'!R203</f>
        <v>0</v>
      </c>
      <c r="S203" s="53">
        <f>'[3]Forecast (pcs.)'!S203</f>
        <v>0</v>
      </c>
      <c r="T203" s="53">
        <f>'[3]Forecast (pcs.)'!T203</f>
        <v>0</v>
      </c>
      <c r="U203" s="53">
        <f>'[3]Forecast (pcs.)'!U203</f>
        <v>0</v>
      </c>
      <c r="V203" s="53">
        <f>'[3]Forecast (pcs.)'!V203</f>
        <v>0</v>
      </c>
      <c r="W203" s="53">
        <f>'[3]Forecast (pcs.)'!W203</f>
        <v>0</v>
      </c>
      <c r="X203" s="53">
        <f>'[3]Forecast (pcs.)'!X203</f>
        <v>0</v>
      </c>
      <c r="Y203" s="53">
        <f>'[3]Forecast (pcs.)'!Y203</f>
        <v>0</v>
      </c>
      <c r="Z203" s="53">
        <f>'[3]Forecast (pcs.)'!Z203</f>
        <v>0</v>
      </c>
      <c r="AA203" s="53">
        <f>'[3]Forecast (pcs.)'!AA203</f>
        <v>0</v>
      </c>
      <c r="AB203" s="53">
        <f>'[3]Forecast (pcs.)'!AB203</f>
        <v>0</v>
      </c>
      <c r="AD203" s="6">
        <f>AVERAGE(Q203:V203)</f>
        <v>206.33333333333334</v>
      </c>
    </row>
    <row r="204" spans="1:30" ht="15" customHeight="1" x14ac:dyDescent="0.25">
      <c r="A204" s="2">
        <v>5708</v>
      </c>
      <c r="B204" s="15" t="s">
        <v>377</v>
      </c>
      <c r="C204" s="15">
        <v>5708</v>
      </c>
      <c r="D204" s="16" t="s">
        <v>378</v>
      </c>
      <c r="E204" s="17">
        <v>33.58</v>
      </c>
      <c r="F204" s="18">
        <v>50540</v>
      </c>
      <c r="G204" s="21">
        <v>60200</v>
      </c>
      <c r="H204" s="6">
        <v>60320</v>
      </c>
      <c r="I204" s="22">
        <v>74506</v>
      </c>
      <c r="J204" s="22">
        <v>70400</v>
      </c>
      <c r="K204" s="22">
        <v>44000</v>
      </c>
      <c r="L204" s="22">
        <v>39600</v>
      </c>
      <c r="M204" s="22">
        <v>30800</v>
      </c>
      <c r="N204" s="22">
        <v>41800</v>
      </c>
      <c r="O204" s="22">
        <v>27974</v>
      </c>
      <c r="P204" s="22">
        <v>51226</v>
      </c>
      <c r="Q204" s="53">
        <f>'[3]Forecast (pcs.)'!Q204</f>
        <v>50600</v>
      </c>
      <c r="R204" s="53">
        <f>'[3]Forecast (pcs.)'!R204</f>
        <v>81400</v>
      </c>
      <c r="S204" s="53">
        <f>'[3]Forecast (pcs.)'!S204</f>
        <v>66000</v>
      </c>
      <c r="T204" s="53">
        <f>'[3]Forecast (pcs.)'!T204</f>
        <v>66000</v>
      </c>
      <c r="U204" s="53">
        <f>'[3]Forecast (pcs.)'!U204</f>
        <v>66000</v>
      </c>
      <c r="V204" s="53">
        <f>'[3]Forecast (pcs.)'!V204</f>
        <v>66000</v>
      </c>
      <c r="W204" s="53">
        <f>'[3]Forecast (pcs.)'!W204</f>
        <v>55460.141814922608</v>
      </c>
      <c r="X204" s="53">
        <f>'[3]Forecast (pcs.)'!X204</f>
        <v>53286.263031214134</v>
      </c>
      <c r="Y204" s="53">
        <f>'[3]Forecast (pcs.)'!Y204</f>
        <v>55475.614261781739</v>
      </c>
      <c r="Z204" s="53">
        <f>'[3]Forecast (pcs.)'!Z204</f>
        <v>55989.088509593304</v>
      </c>
      <c r="AA204" s="53">
        <f>'[3]Forecast (pcs.)'!AA204</f>
        <v>54523.777418321355</v>
      </c>
      <c r="AB204" s="53">
        <f>'[3]Forecast (pcs.)'!AB204</f>
        <v>45637.086083161972</v>
      </c>
      <c r="AD204" s="6">
        <f>AVERAGE(Q204:AB204)</f>
        <v>59697.664259916259</v>
      </c>
    </row>
    <row r="205" spans="1:30" ht="15" customHeight="1" x14ac:dyDescent="0.25">
      <c r="A205" s="2">
        <v>6114</v>
      </c>
      <c r="B205" s="15" t="s">
        <v>379</v>
      </c>
      <c r="C205" s="15">
        <v>6114</v>
      </c>
      <c r="D205" s="16" t="s">
        <v>380</v>
      </c>
      <c r="E205" s="17">
        <v>0</v>
      </c>
      <c r="F205" s="18">
        <v>0</v>
      </c>
      <c r="G205" s="19"/>
      <c r="H205" s="19"/>
      <c r="I205" s="37"/>
      <c r="J205" s="37"/>
      <c r="K205" s="37"/>
      <c r="L205" s="37"/>
      <c r="M205" s="37"/>
      <c r="N205" s="37"/>
      <c r="O205" s="37"/>
      <c r="P205" s="37"/>
      <c r="Q205" s="53">
        <f>'[3]Forecast (pcs.)'!Q205</f>
        <v>0</v>
      </c>
      <c r="R205" s="53">
        <f>'[3]Forecast (pcs.)'!R205</f>
        <v>0</v>
      </c>
      <c r="S205" s="53">
        <f>'[3]Forecast (pcs.)'!S205</f>
        <v>0</v>
      </c>
      <c r="T205" s="53">
        <f>'[3]Forecast (pcs.)'!T205</f>
        <v>0</v>
      </c>
      <c r="U205" s="53">
        <f>'[3]Forecast (pcs.)'!U205</f>
        <v>0</v>
      </c>
      <c r="V205" s="53">
        <f>'[3]Forecast (pcs.)'!V205</f>
        <v>0</v>
      </c>
      <c r="W205" s="53">
        <f>'[3]Forecast (pcs.)'!W205</f>
        <v>0</v>
      </c>
      <c r="X205" s="53">
        <f>'[3]Forecast (pcs.)'!X205</f>
        <v>0</v>
      </c>
      <c r="Y205" s="53">
        <f>'[3]Forecast (pcs.)'!Y205</f>
        <v>0</v>
      </c>
      <c r="Z205" s="53">
        <f>'[3]Forecast (pcs.)'!Z205</f>
        <v>0</v>
      </c>
      <c r="AA205" s="53">
        <f>'[3]Forecast (pcs.)'!AA205</f>
        <v>0</v>
      </c>
      <c r="AB205" s="53">
        <f>'[3]Forecast (pcs.)'!AB205</f>
        <v>0</v>
      </c>
      <c r="AD205" s="6"/>
    </row>
    <row r="206" spans="1:30" ht="15" customHeight="1" x14ac:dyDescent="0.25">
      <c r="A206" s="2">
        <v>6115</v>
      </c>
      <c r="B206" s="15" t="s">
        <v>379</v>
      </c>
      <c r="C206" s="15">
        <v>6115</v>
      </c>
      <c r="D206" s="16" t="s">
        <v>381</v>
      </c>
      <c r="E206" s="17">
        <v>0</v>
      </c>
      <c r="F206" s="18">
        <v>0</v>
      </c>
      <c r="G206" s="19"/>
      <c r="H206" s="19"/>
      <c r="I206" s="37"/>
      <c r="J206" s="37"/>
      <c r="K206" s="37"/>
      <c r="L206" s="37"/>
      <c r="M206" s="37"/>
      <c r="N206" s="37"/>
      <c r="O206" s="37"/>
      <c r="P206" s="37"/>
      <c r="Q206" s="53">
        <f>'[3]Forecast (pcs.)'!Q206</f>
        <v>0</v>
      </c>
      <c r="R206" s="53">
        <f>'[3]Forecast (pcs.)'!R206</f>
        <v>0</v>
      </c>
      <c r="S206" s="53">
        <f>'[3]Forecast (pcs.)'!S206</f>
        <v>0</v>
      </c>
      <c r="T206" s="53">
        <f>'[3]Forecast (pcs.)'!T206</f>
        <v>0</v>
      </c>
      <c r="U206" s="53">
        <f>'[3]Forecast (pcs.)'!U206</f>
        <v>0</v>
      </c>
      <c r="V206" s="53">
        <f>'[3]Forecast (pcs.)'!V206</f>
        <v>0</v>
      </c>
      <c r="W206" s="53">
        <f>'[3]Forecast (pcs.)'!W206</f>
        <v>0</v>
      </c>
      <c r="X206" s="53">
        <f>'[3]Forecast (pcs.)'!X206</f>
        <v>0</v>
      </c>
      <c r="Y206" s="53">
        <f>'[3]Forecast (pcs.)'!Y206</f>
        <v>0</v>
      </c>
      <c r="Z206" s="53">
        <f>'[3]Forecast (pcs.)'!Z206</f>
        <v>0</v>
      </c>
      <c r="AA206" s="53">
        <f>'[3]Forecast (pcs.)'!AA206</f>
        <v>0</v>
      </c>
      <c r="AB206" s="53">
        <f>'[3]Forecast (pcs.)'!AB206</f>
        <v>0</v>
      </c>
      <c r="AD206" s="6"/>
    </row>
    <row r="207" spans="1:30" ht="15" customHeight="1" x14ac:dyDescent="0.25">
      <c r="A207" s="2">
        <v>6116</v>
      </c>
      <c r="B207" s="15" t="s">
        <v>379</v>
      </c>
      <c r="C207" s="15">
        <v>6116</v>
      </c>
      <c r="D207" s="16" t="s">
        <v>382</v>
      </c>
      <c r="E207" s="17">
        <v>0</v>
      </c>
      <c r="F207" s="18">
        <v>0</v>
      </c>
      <c r="G207" s="19"/>
      <c r="H207" s="19"/>
      <c r="I207" s="37"/>
      <c r="J207" s="37"/>
      <c r="K207" s="37"/>
      <c r="L207" s="37"/>
      <c r="M207" s="37"/>
      <c r="N207" s="37"/>
      <c r="O207" s="37"/>
      <c r="P207" s="37"/>
      <c r="Q207" s="53">
        <f>'[3]Forecast (pcs.)'!Q207</f>
        <v>0</v>
      </c>
      <c r="R207" s="53">
        <f>'[3]Forecast (pcs.)'!R207</f>
        <v>0</v>
      </c>
      <c r="S207" s="53">
        <f>'[3]Forecast (pcs.)'!S207</f>
        <v>0</v>
      </c>
      <c r="T207" s="53">
        <f>'[3]Forecast (pcs.)'!T207</f>
        <v>0</v>
      </c>
      <c r="U207" s="53">
        <f>'[3]Forecast (pcs.)'!U207</f>
        <v>0</v>
      </c>
      <c r="V207" s="53">
        <f>'[3]Forecast (pcs.)'!V207</f>
        <v>0</v>
      </c>
      <c r="W207" s="53">
        <f>'[3]Forecast (pcs.)'!W207</f>
        <v>0</v>
      </c>
      <c r="X207" s="53">
        <f>'[3]Forecast (pcs.)'!X207</f>
        <v>0</v>
      </c>
      <c r="Y207" s="53">
        <f>'[3]Forecast (pcs.)'!Y207</f>
        <v>0</v>
      </c>
      <c r="Z207" s="53">
        <f>'[3]Forecast (pcs.)'!Z207</f>
        <v>0</v>
      </c>
      <c r="AA207" s="53">
        <f>'[3]Forecast (pcs.)'!AA207</f>
        <v>0</v>
      </c>
      <c r="AB207" s="53">
        <f>'[3]Forecast (pcs.)'!AB207</f>
        <v>0</v>
      </c>
      <c r="AD207" s="6"/>
    </row>
    <row r="208" spans="1:30" ht="15" customHeight="1" x14ac:dyDescent="0.25">
      <c r="A208" s="2">
        <v>6117</v>
      </c>
      <c r="B208" s="15" t="s">
        <v>379</v>
      </c>
      <c r="C208" s="15">
        <v>6117</v>
      </c>
      <c r="D208" s="16" t="s">
        <v>383</v>
      </c>
      <c r="E208" s="17">
        <v>0</v>
      </c>
      <c r="F208" s="18">
        <v>0</v>
      </c>
      <c r="G208" s="19"/>
      <c r="H208" s="19"/>
      <c r="I208" s="37"/>
      <c r="J208" s="37"/>
      <c r="K208" s="37"/>
      <c r="L208" s="37"/>
      <c r="M208" s="37"/>
      <c r="N208" s="37"/>
      <c r="O208" s="37"/>
      <c r="P208" s="37"/>
      <c r="Q208" s="53">
        <f>'[3]Forecast (pcs.)'!Q208</f>
        <v>0</v>
      </c>
      <c r="R208" s="53">
        <f>'[3]Forecast (pcs.)'!R208</f>
        <v>0</v>
      </c>
      <c r="S208" s="53">
        <f>'[3]Forecast (pcs.)'!S208</f>
        <v>0</v>
      </c>
      <c r="T208" s="53">
        <f>'[3]Forecast (pcs.)'!T208</f>
        <v>0</v>
      </c>
      <c r="U208" s="53">
        <f>'[3]Forecast (pcs.)'!U208</f>
        <v>0</v>
      </c>
      <c r="V208" s="53">
        <f>'[3]Forecast (pcs.)'!V208</f>
        <v>0</v>
      </c>
      <c r="W208" s="53">
        <f>'[3]Forecast (pcs.)'!W208</f>
        <v>0</v>
      </c>
      <c r="X208" s="53">
        <f>'[3]Forecast (pcs.)'!X208</f>
        <v>0</v>
      </c>
      <c r="Y208" s="53">
        <f>'[3]Forecast (pcs.)'!Y208</f>
        <v>0</v>
      </c>
      <c r="Z208" s="53">
        <f>'[3]Forecast (pcs.)'!Z208</f>
        <v>0</v>
      </c>
      <c r="AA208" s="53">
        <f>'[3]Forecast (pcs.)'!AA208</f>
        <v>0</v>
      </c>
      <c r="AB208" s="53">
        <f>'[3]Forecast (pcs.)'!AB208</f>
        <v>0</v>
      </c>
      <c r="AD208" s="6"/>
    </row>
    <row r="209" spans="1:30" ht="15" customHeight="1" x14ac:dyDescent="0.25">
      <c r="A209" s="2">
        <v>6118</v>
      </c>
      <c r="B209" s="15" t="s">
        <v>379</v>
      </c>
      <c r="C209" s="15">
        <v>6118</v>
      </c>
      <c r="D209" s="16" t="s">
        <v>384</v>
      </c>
      <c r="E209" s="17">
        <v>0</v>
      </c>
      <c r="F209" s="18">
        <v>0</v>
      </c>
      <c r="G209" s="19"/>
      <c r="H209" s="19"/>
      <c r="I209" s="37"/>
      <c r="J209" s="37"/>
      <c r="K209" s="37"/>
      <c r="L209" s="37"/>
      <c r="M209" s="37"/>
      <c r="N209" s="37"/>
      <c r="O209" s="37"/>
      <c r="P209" s="37"/>
      <c r="Q209" s="53">
        <f>'[3]Forecast (pcs.)'!Q209</f>
        <v>0</v>
      </c>
      <c r="R209" s="53">
        <f>'[3]Forecast (pcs.)'!R209</f>
        <v>0</v>
      </c>
      <c r="S209" s="53">
        <f>'[3]Forecast (pcs.)'!S209</f>
        <v>0</v>
      </c>
      <c r="T209" s="53">
        <f>'[3]Forecast (pcs.)'!T209</f>
        <v>0</v>
      </c>
      <c r="U209" s="53">
        <f>'[3]Forecast (pcs.)'!U209</f>
        <v>0</v>
      </c>
      <c r="V209" s="53">
        <f>'[3]Forecast (pcs.)'!V209</f>
        <v>0</v>
      </c>
      <c r="W209" s="53">
        <f>'[3]Forecast (pcs.)'!W209</f>
        <v>0</v>
      </c>
      <c r="X209" s="53">
        <f>'[3]Forecast (pcs.)'!X209</f>
        <v>0</v>
      </c>
      <c r="Y209" s="53">
        <f>'[3]Forecast (pcs.)'!Y209</f>
        <v>0</v>
      </c>
      <c r="Z209" s="53">
        <f>'[3]Forecast (pcs.)'!Z209</f>
        <v>0</v>
      </c>
      <c r="AA209" s="53">
        <f>'[3]Forecast (pcs.)'!AA209</f>
        <v>0</v>
      </c>
      <c r="AB209" s="53">
        <f>'[3]Forecast (pcs.)'!AB209</f>
        <v>0</v>
      </c>
      <c r="AD209" s="6"/>
    </row>
    <row r="210" spans="1:30" ht="15" customHeight="1" x14ac:dyDescent="0.25">
      <c r="A210" s="2">
        <v>6119</v>
      </c>
      <c r="B210" s="15" t="s">
        <v>379</v>
      </c>
      <c r="C210" s="15">
        <v>6119</v>
      </c>
      <c r="D210" s="16" t="s">
        <v>385</v>
      </c>
      <c r="E210" s="17">
        <v>0</v>
      </c>
      <c r="F210" s="18">
        <v>0</v>
      </c>
      <c r="G210" s="19"/>
      <c r="H210" s="19"/>
      <c r="I210" s="37"/>
      <c r="J210" s="37"/>
      <c r="K210" s="37"/>
      <c r="L210" s="37"/>
      <c r="M210" s="37"/>
      <c r="N210" s="37"/>
      <c r="O210" s="37"/>
      <c r="P210" s="37"/>
      <c r="Q210" s="53">
        <f>'[3]Forecast (pcs.)'!Q210</f>
        <v>0</v>
      </c>
      <c r="R210" s="53">
        <f>'[3]Forecast (pcs.)'!R210</f>
        <v>0</v>
      </c>
      <c r="S210" s="53">
        <f>'[3]Forecast (pcs.)'!S210</f>
        <v>0</v>
      </c>
      <c r="T210" s="53">
        <f>'[3]Forecast (pcs.)'!T210</f>
        <v>0</v>
      </c>
      <c r="U210" s="53">
        <f>'[3]Forecast (pcs.)'!U210</f>
        <v>0</v>
      </c>
      <c r="V210" s="53">
        <f>'[3]Forecast (pcs.)'!V210</f>
        <v>0</v>
      </c>
      <c r="W210" s="53">
        <f>'[3]Forecast (pcs.)'!W210</f>
        <v>0</v>
      </c>
      <c r="X210" s="53">
        <f>'[3]Forecast (pcs.)'!X210</f>
        <v>0</v>
      </c>
      <c r="Y210" s="53">
        <f>'[3]Forecast (pcs.)'!Y210</f>
        <v>0</v>
      </c>
      <c r="Z210" s="53">
        <f>'[3]Forecast (pcs.)'!Z210</f>
        <v>0</v>
      </c>
      <c r="AA210" s="53">
        <f>'[3]Forecast (pcs.)'!AA210</f>
        <v>0</v>
      </c>
      <c r="AB210" s="53">
        <f>'[3]Forecast (pcs.)'!AB210</f>
        <v>0</v>
      </c>
      <c r="AD210" s="6"/>
    </row>
    <row r="211" spans="1:30" ht="15" customHeight="1" x14ac:dyDescent="0.25">
      <c r="A211" s="2">
        <v>6120</v>
      </c>
      <c r="B211" s="15" t="s">
        <v>379</v>
      </c>
      <c r="C211" s="15">
        <v>6120</v>
      </c>
      <c r="D211" s="16" t="s">
        <v>386</v>
      </c>
      <c r="E211" s="17">
        <v>0</v>
      </c>
      <c r="F211" s="18">
        <v>0</v>
      </c>
      <c r="G211" s="19"/>
      <c r="H211" s="19"/>
      <c r="I211" s="37"/>
      <c r="J211" s="37"/>
      <c r="K211" s="37"/>
      <c r="L211" s="37"/>
      <c r="M211" s="37"/>
      <c r="N211" s="37"/>
      <c r="O211" s="37"/>
      <c r="P211" s="37"/>
      <c r="Q211" s="53">
        <f>'[3]Forecast (pcs.)'!Q211</f>
        <v>0</v>
      </c>
      <c r="R211" s="53">
        <f>'[3]Forecast (pcs.)'!R211</f>
        <v>0</v>
      </c>
      <c r="S211" s="53">
        <f>'[3]Forecast (pcs.)'!S211</f>
        <v>0</v>
      </c>
      <c r="T211" s="53">
        <f>'[3]Forecast (pcs.)'!T211</f>
        <v>0</v>
      </c>
      <c r="U211" s="53">
        <f>'[3]Forecast (pcs.)'!U211</f>
        <v>0</v>
      </c>
      <c r="V211" s="53">
        <f>'[3]Forecast (pcs.)'!V211</f>
        <v>0</v>
      </c>
      <c r="W211" s="53">
        <f>'[3]Forecast (pcs.)'!W211</f>
        <v>0</v>
      </c>
      <c r="X211" s="53">
        <f>'[3]Forecast (pcs.)'!X211</f>
        <v>0</v>
      </c>
      <c r="Y211" s="53">
        <f>'[3]Forecast (pcs.)'!Y211</f>
        <v>0</v>
      </c>
      <c r="Z211" s="53">
        <f>'[3]Forecast (pcs.)'!Z211</f>
        <v>0</v>
      </c>
      <c r="AA211" s="53">
        <f>'[3]Forecast (pcs.)'!AA211</f>
        <v>0</v>
      </c>
      <c r="AB211" s="53">
        <f>'[3]Forecast (pcs.)'!AB211</f>
        <v>0</v>
      </c>
      <c r="AD211" s="6"/>
    </row>
    <row r="212" spans="1:30" ht="15" customHeight="1" x14ac:dyDescent="0.25">
      <c r="A212" s="2">
        <v>6121</v>
      </c>
      <c r="B212" s="15" t="s">
        <v>379</v>
      </c>
      <c r="C212" s="15">
        <v>6121</v>
      </c>
      <c r="D212" s="16" t="s">
        <v>387</v>
      </c>
      <c r="E212" s="17">
        <v>0</v>
      </c>
      <c r="F212" s="18">
        <v>0</v>
      </c>
      <c r="G212" s="19"/>
      <c r="H212" s="19"/>
      <c r="I212" s="37"/>
      <c r="J212" s="37"/>
      <c r="K212" s="37"/>
      <c r="L212" s="37"/>
      <c r="M212" s="37"/>
      <c r="N212" s="37"/>
      <c r="O212" s="37"/>
      <c r="P212" s="37"/>
      <c r="Q212" s="53">
        <f>'[3]Forecast (pcs.)'!Q212</f>
        <v>0</v>
      </c>
      <c r="R212" s="53">
        <f>'[3]Forecast (pcs.)'!R212</f>
        <v>0</v>
      </c>
      <c r="S212" s="53">
        <f>'[3]Forecast (pcs.)'!S212</f>
        <v>0</v>
      </c>
      <c r="T212" s="53">
        <f>'[3]Forecast (pcs.)'!T212</f>
        <v>0</v>
      </c>
      <c r="U212" s="53">
        <f>'[3]Forecast (pcs.)'!U212</f>
        <v>0</v>
      </c>
      <c r="V212" s="53">
        <f>'[3]Forecast (pcs.)'!V212</f>
        <v>0</v>
      </c>
      <c r="W212" s="53">
        <f>'[3]Forecast (pcs.)'!W212</f>
        <v>0</v>
      </c>
      <c r="X212" s="53">
        <f>'[3]Forecast (pcs.)'!X212</f>
        <v>0</v>
      </c>
      <c r="Y212" s="53">
        <f>'[3]Forecast (pcs.)'!Y212</f>
        <v>0</v>
      </c>
      <c r="Z212" s="53">
        <f>'[3]Forecast (pcs.)'!Z212</f>
        <v>0</v>
      </c>
      <c r="AA212" s="53">
        <f>'[3]Forecast (pcs.)'!AA212</f>
        <v>0</v>
      </c>
      <c r="AB212" s="53">
        <f>'[3]Forecast (pcs.)'!AB212</f>
        <v>0</v>
      </c>
      <c r="AD212" s="6"/>
    </row>
    <row r="213" spans="1:30" ht="15" customHeight="1" x14ac:dyDescent="0.25">
      <c r="A213" s="2">
        <v>6122</v>
      </c>
      <c r="B213" s="15" t="s">
        <v>379</v>
      </c>
      <c r="C213" s="15">
        <v>6122</v>
      </c>
      <c r="D213" s="16" t="s">
        <v>388</v>
      </c>
      <c r="E213" s="17">
        <v>0</v>
      </c>
      <c r="F213" s="18">
        <v>0</v>
      </c>
      <c r="G213" s="19"/>
      <c r="H213" s="19"/>
      <c r="I213" s="37"/>
      <c r="J213" s="37"/>
      <c r="K213" s="37"/>
      <c r="L213" s="37"/>
      <c r="M213" s="37"/>
      <c r="N213" s="37"/>
      <c r="O213" s="37"/>
      <c r="P213" s="37"/>
      <c r="Q213" s="53">
        <f>'[3]Forecast (pcs.)'!Q213</f>
        <v>0</v>
      </c>
      <c r="R213" s="53">
        <f>'[3]Forecast (pcs.)'!R213</f>
        <v>0</v>
      </c>
      <c r="S213" s="53">
        <f>'[3]Forecast (pcs.)'!S213</f>
        <v>0</v>
      </c>
      <c r="T213" s="53">
        <f>'[3]Forecast (pcs.)'!T213</f>
        <v>0</v>
      </c>
      <c r="U213" s="53">
        <f>'[3]Forecast (pcs.)'!U213</f>
        <v>0</v>
      </c>
      <c r="V213" s="53">
        <f>'[3]Forecast (pcs.)'!V213</f>
        <v>0</v>
      </c>
      <c r="W213" s="53">
        <f>'[3]Forecast (pcs.)'!W213</f>
        <v>0</v>
      </c>
      <c r="X213" s="53">
        <f>'[3]Forecast (pcs.)'!X213</f>
        <v>0</v>
      </c>
      <c r="Y213" s="53">
        <f>'[3]Forecast (pcs.)'!Y213</f>
        <v>0</v>
      </c>
      <c r="Z213" s="53">
        <f>'[3]Forecast (pcs.)'!Z213</f>
        <v>0</v>
      </c>
      <c r="AA213" s="53">
        <f>'[3]Forecast (pcs.)'!AA213</f>
        <v>0</v>
      </c>
      <c r="AB213" s="53">
        <f>'[3]Forecast (pcs.)'!AB213</f>
        <v>0</v>
      </c>
      <c r="AD213" s="6"/>
    </row>
    <row r="214" spans="1:30" ht="15" customHeight="1" x14ac:dyDescent="0.25">
      <c r="A214" s="2">
        <v>6123</v>
      </c>
      <c r="B214" s="15" t="s">
        <v>379</v>
      </c>
      <c r="C214" s="15">
        <v>6123</v>
      </c>
      <c r="D214" s="16" t="s">
        <v>389</v>
      </c>
      <c r="E214" s="17">
        <v>0</v>
      </c>
      <c r="F214" s="18">
        <v>0</v>
      </c>
      <c r="G214" s="19"/>
      <c r="H214" s="19"/>
      <c r="I214" s="37"/>
      <c r="J214" s="37"/>
      <c r="K214" s="37"/>
      <c r="L214" s="37"/>
      <c r="M214" s="37"/>
      <c r="N214" s="37"/>
      <c r="O214" s="37"/>
      <c r="P214" s="37"/>
      <c r="Q214" s="53">
        <f>'[3]Forecast (pcs.)'!Q214</f>
        <v>0</v>
      </c>
      <c r="R214" s="53">
        <f>'[3]Forecast (pcs.)'!R214</f>
        <v>0</v>
      </c>
      <c r="S214" s="53">
        <f>'[3]Forecast (pcs.)'!S214</f>
        <v>0</v>
      </c>
      <c r="T214" s="53">
        <f>'[3]Forecast (pcs.)'!T214</f>
        <v>0</v>
      </c>
      <c r="U214" s="53">
        <f>'[3]Forecast (pcs.)'!U214</f>
        <v>0</v>
      </c>
      <c r="V214" s="53">
        <f>'[3]Forecast (pcs.)'!V214</f>
        <v>0</v>
      </c>
      <c r="W214" s="53">
        <f>'[3]Forecast (pcs.)'!W214</f>
        <v>0</v>
      </c>
      <c r="X214" s="53">
        <f>'[3]Forecast (pcs.)'!X214</f>
        <v>0</v>
      </c>
      <c r="Y214" s="53">
        <f>'[3]Forecast (pcs.)'!Y214</f>
        <v>0</v>
      </c>
      <c r="Z214" s="53">
        <f>'[3]Forecast (pcs.)'!Z214</f>
        <v>0</v>
      </c>
      <c r="AA214" s="53">
        <f>'[3]Forecast (pcs.)'!AA214</f>
        <v>0</v>
      </c>
      <c r="AB214" s="53">
        <f>'[3]Forecast (pcs.)'!AB214</f>
        <v>0</v>
      </c>
      <c r="AD214" s="6"/>
    </row>
    <row r="215" spans="1:30" ht="15" customHeight="1" x14ac:dyDescent="0.25">
      <c r="A215" s="2">
        <v>6125</v>
      </c>
      <c r="B215" s="15" t="s">
        <v>379</v>
      </c>
      <c r="C215" s="15">
        <v>6125</v>
      </c>
      <c r="D215" s="16" t="s">
        <v>390</v>
      </c>
      <c r="E215" s="17">
        <v>68.55</v>
      </c>
      <c r="F215" s="18">
        <v>0</v>
      </c>
      <c r="G215" s="19"/>
      <c r="H215" s="19"/>
      <c r="I215" s="37"/>
      <c r="J215" s="37"/>
      <c r="K215" s="37"/>
      <c r="L215" s="37"/>
      <c r="M215" s="22">
        <v>792</v>
      </c>
      <c r="N215" s="22">
        <v>796</v>
      </c>
      <c r="O215" s="22">
        <v>890</v>
      </c>
      <c r="P215" s="22">
        <v>1025</v>
      </c>
      <c r="Q215" s="53">
        <f>'[3]Forecast (pcs.)'!Q215</f>
        <v>0</v>
      </c>
      <c r="R215" s="53">
        <f>'[3]Forecast (pcs.)'!R215</f>
        <v>0</v>
      </c>
      <c r="S215" s="53">
        <f>'[3]Forecast (pcs.)'!S215</f>
        <v>0</v>
      </c>
      <c r="T215" s="53">
        <f>'[3]Forecast (pcs.)'!T215</f>
        <v>0</v>
      </c>
      <c r="U215" s="53">
        <f>'[3]Forecast (pcs.)'!U215</f>
        <v>0</v>
      </c>
      <c r="V215" s="53">
        <f>'[3]Forecast (pcs.)'!V215</f>
        <v>0</v>
      </c>
      <c r="W215" s="53">
        <f>'[3]Forecast (pcs.)'!W215</f>
        <v>0</v>
      </c>
      <c r="X215" s="53">
        <f>'[3]Forecast (pcs.)'!X215</f>
        <v>0</v>
      </c>
      <c r="Y215" s="53">
        <f>'[3]Forecast (pcs.)'!Y215</f>
        <v>0</v>
      </c>
      <c r="Z215" s="53">
        <f>'[3]Forecast (pcs.)'!Z215</f>
        <v>0</v>
      </c>
      <c r="AA215" s="53">
        <f>'[3]Forecast (pcs.)'!AA215</f>
        <v>0</v>
      </c>
      <c r="AB215" s="53">
        <f>'[3]Forecast (pcs.)'!AB215</f>
        <v>0</v>
      </c>
      <c r="AD215" s="6">
        <f>AVERAGE(O215:U215)</f>
        <v>273.57142857142856</v>
      </c>
    </row>
    <row r="216" spans="1:30" ht="15" customHeight="1" x14ac:dyDescent="0.25">
      <c r="A216" s="2">
        <v>6126</v>
      </c>
      <c r="B216" s="15" t="s">
        <v>379</v>
      </c>
      <c r="C216" s="15">
        <v>6126</v>
      </c>
      <c r="D216" s="16" t="s">
        <v>391</v>
      </c>
      <c r="E216" s="17">
        <v>0</v>
      </c>
      <c r="F216" s="18">
        <v>0</v>
      </c>
      <c r="G216" s="19"/>
      <c r="H216" s="19"/>
      <c r="I216" s="37"/>
      <c r="J216" s="37"/>
      <c r="K216" s="37"/>
      <c r="L216" s="37"/>
      <c r="M216" s="37"/>
      <c r="N216" s="37"/>
      <c r="O216" s="37"/>
      <c r="P216" s="37"/>
      <c r="Q216" s="53">
        <f>'[3]Forecast (pcs.)'!Q216</f>
        <v>0</v>
      </c>
      <c r="R216" s="53">
        <f>'[3]Forecast (pcs.)'!R216</f>
        <v>0</v>
      </c>
      <c r="S216" s="53">
        <f>'[3]Forecast (pcs.)'!S216</f>
        <v>0</v>
      </c>
      <c r="T216" s="53">
        <f>'[3]Forecast (pcs.)'!T216</f>
        <v>0</v>
      </c>
      <c r="U216" s="53">
        <f>'[3]Forecast (pcs.)'!U216</f>
        <v>0</v>
      </c>
      <c r="V216" s="53">
        <f>'[3]Forecast (pcs.)'!V216</f>
        <v>0</v>
      </c>
      <c r="W216" s="53">
        <f>'[3]Forecast (pcs.)'!W216</f>
        <v>0</v>
      </c>
      <c r="X216" s="53">
        <f>'[3]Forecast (pcs.)'!X216</f>
        <v>0</v>
      </c>
      <c r="Y216" s="53">
        <f>'[3]Forecast (pcs.)'!Y216</f>
        <v>0</v>
      </c>
      <c r="Z216" s="53">
        <f>'[3]Forecast (pcs.)'!Z216</f>
        <v>0</v>
      </c>
      <c r="AA216" s="53">
        <f>'[3]Forecast (pcs.)'!AA216</f>
        <v>0</v>
      </c>
      <c r="AB216" s="53">
        <f>'[3]Forecast (pcs.)'!AB216</f>
        <v>0</v>
      </c>
      <c r="AD216" s="6"/>
    </row>
    <row r="217" spans="1:30" ht="15" customHeight="1" x14ac:dyDescent="0.25">
      <c r="A217" s="2">
        <v>6127</v>
      </c>
      <c r="B217" s="15" t="s">
        <v>379</v>
      </c>
      <c r="C217" s="15">
        <v>6127</v>
      </c>
      <c r="D217" s="16" t="s">
        <v>392</v>
      </c>
      <c r="E217" s="17">
        <v>0</v>
      </c>
      <c r="F217" s="18">
        <v>0</v>
      </c>
      <c r="G217" s="19"/>
      <c r="H217" s="19"/>
      <c r="I217" s="37"/>
      <c r="J217" s="37"/>
      <c r="K217" s="37"/>
      <c r="L217" s="37"/>
      <c r="M217" s="37"/>
      <c r="N217" s="37"/>
      <c r="O217" s="37"/>
      <c r="P217" s="37"/>
      <c r="Q217" s="53">
        <f>'[3]Forecast (pcs.)'!Q217</f>
        <v>0</v>
      </c>
      <c r="R217" s="53">
        <f>'[3]Forecast (pcs.)'!R217</f>
        <v>0</v>
      </c>
      <c r="S217" s="53">
        <f>'[3]Forecast (pcs.)'!S217</f>
        <v>0</v>
      </c>
      <c r="T217" s="53">
        <f>'[3]Forecast (pcs.)'!T217</f>
        <v>0</v>
      </c>
      <c r="U217" s="53">
        <f>'[3]Forecast (pcs.)'!U217</f>
        <v>0</v>
      </c>
      <c r="V217" s="53">
        <f>'[3]Forecast (pcs.)'!V217</f>
        <v>0</v>
      </c>
      <c r="W217" s="53">
        <f>'[3]Forecast (pcs.)'!W217</f>
        <v>0</v>
      </c>
      <c r="X217" s="53">
        <f>'[3]Forecast (pcs.)'!X217</f>
        <v>0</v>
      </c>
      <c r="Y217" s="53">
        <f>'[3]Forecast (pcs.)'!Y217</f>
        <v>0</v>
      </c>
      <c r="Z217" s="53">
        <f>'[3]Forecast (pcs.)'!Z217</f>
        <v>0</v>
      </c>
      <c r="AA217" s="53">
        <f>'[3]Forecast (pcs.)'!AA217</f>
        <v>0</v>
      </c>
      <c r="AB217" s="53">
        <f>'[3]Forecast (pcs.)'!AB217</f>
        <v>0</v>
      </c>
      <c r="AD217" s="6"/>
    </row>
    <row r="218" spans="1:30" ht="15" customHeight="1" x14ac:dyDescent="0.25">
      <c r="A218" s="2">
        <v>6128</v>
      </c>
      <c r="B218" s="15" t="s">
        <v>379</v>
      </c>
      <c r="C218" s="15">
        <v>6128</v>
      </c>
      <c r="D218" s="16" t="s">
        <v>393</v>
      </c>
      <c r="E218" s="17">
        <v>0</v>
      </c>
      <c r="F218" s="18">
        <v>0</v>
      </c>
      <c r="G218" s="19"/>
      <c r="H218" s="19"/>
      <c r="I218" s="37"/>
      <c r="J218" s="37"/>
      <c r="K218" s="37"/>
      <c r="L218" s="37"/>
      <c r="M218" s="37"/>
      <c r="N218" s="37"/>
      <c r="O218" s="37"/>
      <c r="P218" s="37"/>
      <c r="Q218" s="53">
        <f>'[3]Forecast (pcs.)'!Q218</f>
        <v>0</v>
      </c>
      <c r="R218" s="53">
        <f>'[3]Forecast (pcs.)'!R218</f>
        <v>0</v>
      </c>
      <c r="S218" s="53">
        <f>'[3]Forecast (pcs.)'!S218</f>
        <v>0</v>
      </c>
      <c r="T218" s="53">
        <f>'[3]Forecast (pcs.)'!T218</f>
        <v>0</v>
      </c>
      <c r="U218" s="53">
        <f>'[3]Forecast (pcs.)'!U218</f>
        <v>0</v>
      </c>
      <c r="V218" s="53">
        <f>'[3]Forecast (pcs.)'!V218</f>
        <v>0</v>
      </c>
      <c r="W218" s="53">
        <f>'[3]Forecast (pcs.)'!W218</f>
        <v>0</v>
      </c>
      <c r="X218" s="53">
        <f>'[3]Forecast (pcs.)'!X218</f>
        <v>0</v>
      </c>
      <c r="Y218" s="53">
        <f>'[3]Forecast (pcs.)'!Y218</f>
        <v>0</v>
      </c>
      <c r="Z218" s="53">
        <f>'[3]Forecast (pcs.)'!Z218</f>
        <v>0</v>
      </c>
      <c r="AA218" s="53">
        <f>'[3]Forecast (pcs.)'!AA218</f>
        <v>0</v>
      </c>
      <c r="AB218" s="53">
        <f>'[3]Forecast (pcs.)'!AB218</f>
        <v>0</v>
      </c>
      <c r="AD218" s="6"/>
    </row>
    <row r="219" spans="1:30" ht="15" customHeight="1" x14ac:dyDescent="0.25">
      <c r="A219" s="2">
        <v>6130</v>
      </c>
      <c r="B219" s="15" t="s">
        <v>379</v>
      </c>
      <c r="C219" s="15">
        <v>6130</v>
      </c>
      <c r="D219" s="16" t="s">
        <v>394</v>
      </c>
      <c r="E219" s="17">
        <v>369.9</v>
      </c>
      <c r="F219" s="18">
        <v>2950</v>
      </c>
      <c r="G219" s="6">
        <v>3660</v>
      </c>
      <c r="H219" s="6">
        <v>2200</v>
      </c>
      <c r="I219" s="22">
        <v>2300</v>
      </c>
      <c r="J219" s="22">
        <v>2061</v>
      </c>
      <c r="K219" s="22">
        <v>2360</v>
      </c>
      <c r="L219" s="22">
        <v>1800</v>
      </c>
      <c r="M219" s="22">
        <v>1680</v>
      </c>
      <c r="N219" s="22">
        <v>1990</v>
      </c>
      <c r="O219" s="22">
        <v>2480</v>
      </c>
      <c r="P219" s="22">
        <v>2460</v>
      </c>
      <c r="Q219" s="53">
        <f>'[3]Forecast (pcs.)'!Q219</f>
        <v>2355</v>
      </c>
      <c r="R219" s="53">
        <f>'[3]Forecast (pcs.)'!R219</f>
        <v>2440</v>
      </c>
      <c r="S219" s="53">
        <f>'[3]Forecast (pcs.)'!S219</f>
        <v>2400</v>
      </c>
      <c r="T219" s="53">
        <f>'[3]Forecast (pcs.)'!T219</f>
        <v>1680</v>
      </c>
      <c r="U219" s="53">
        <f>'[3]Forecast (pcs.)'!U219</f>
        <v>2160</v>
      </c>
      <c r="V219" s="53">
        <f>'[3]Forecast (pcs.)'!V219</f>
        <v>1320</v>
      </c>
      <c r="W219" s="53">
        <f>'[3]Forecast (pcs.)'!W219</f>
        <v>1080</v>
      </c>
      <c r="X219" s="53">
        <f>'[3]Forecast (pcs.)'!X219</f>
        <v>0</v>
      </c>
      <c r="Y219" s="53">
        <f>'[3]Forecast (pcs.)'!Y219</f>
        <v>1813.2949331943735</v>
      </c>
      <c r="Z219" s="53">
        <f>'[3]Forecast (pcs.)'!Z219</f>
        <v>1830.0785283698835</v>
      </c>
      <c r="AA219" s="53">
        <f>'[3]Forecast (pcs.)'!AA219</f>
        <v>1782.1828680385038</v>
      </c>
      <c r="AB219" s="53">
        <f>'[3]Forecast (pcs.)'!AB219</f>
        <v>1491.7094305589976</v>
      </c>
      <c r="AD219" s="6">
        <f>AVERAGE(O219:W219)</f>
        <v>2041.6666666666667</v>
      </c>
    </row>
    <row r="220" spans="1:30" ht="15" customHeight="1" x14ac:dyDescent="0.25">
      <c r="A220" s="2">
        <v>6131</v>
      </c>
      <c r="B220" s="15" t="s">
        <v>379</v>
      </c>
      <c r="C220" s="15">
        <v>6131</v>
      </c>
      <c r="D220" s="16" t="s">
        <v>395</v>
      </c>
      <c r="E220" s="17">
        <v>0</v>
      </c>
      <c r="F220" s="18">
        <v>0</v>
      </c>
      <c r="G220" s="19"/>
      <c r="H220" s="19"/>
      <c r="I220" s="37"/>
      <c r="J220" s="37"/>
      <c r="K220" s="37"/>
      <c r="L220" s="37"/>
      <c r="M220" s="37"/>
      <c r="N220" s="37"/>
      <c r="O220" s="37"/>
      <c r="P220" s="37"/>
      <c r="Q220" s="53">
        <f>'[3]Forecast (pcs.)'!Q220</f>
        <v>0</v>
      </c>
      <c r="R220" s="53">
        <f>'[3]Forecast (pcs.)'!R220</f>
        <v>0</v>
      </c>
      <c r="S220" s="53">
        <f>'[3]Forecast (pcs.)'!S220</f>
        <v>0</v>
      </c>
      <c r="T220" s="53">
        <f>'[3]Forecast (pcs.)'!T220</f>
        <v>0</v>
      </c>
      <c r="U220" s="53">
        <f>'[3]Forecast (pcs.)'!U220</f>
        <v>0</v>
      </c>
      <c r="V220" s="53">
        <f>'[3]Forecast (pcs.)'!V220</f>
        <v>0</v>
      </c>
      <c r="W220" s="53">
        <f>'[3]Forecast (pcs.)'!W220</f>
        <v>0</v>
      </c>
      <c r="X220" s="53">
        <f>'[3]Forecast (pcs.)'!X220</f>
        <v>0</v>
      </c>
      <c r="Y220" s="53">
        <f>'[3]Forecast (pcs.)'!Y220</f>
        <v>0</v>
      </c>
      <c r="Z220" s="53">
        <f>'[3]Forecast (pcs.)'!Z220</f>
        <v>0</v>
      </c>
      <c r="AA220" s="53">
        <f>'[3]Forecast (pcs.)'!AA220</f>
        <v>0</v>
      </c>
      <c r="AB220" s="53">
        <f>'[3]Forecast (pcs.)'!AB220</f>
        <v>0</v>
      </c>
      <c r="AD220" s="6"/>
    </row>
    <row r="221" spans="1:30" ht="15" customHeight="1" x14ac:dyDescent="0.25">
      <c r="A221" s="2">
        <v>6132</v>
      </c>
      <c r="B221" s="15" t="s">
        <v>379</v>
      </c>
      <c r="C221" s="15">
        <v>6132</v>
      </c>
      <c r="D221" s="16" t="s">
        <v>396</v>
      </c>
      <c r="E221" s="17">
        <v>0</v>
      </c>
      <c r="F221" s="18">
        <v>0</v>
      </c>
      <c r="G221" s="19"/>
      <c r="H221" s="19"/>
      <c r="I221" s="37"/>
      <c r="J221" s="37"/>
      <c r="K221" s="37"/>
      <c r="L221" s="37"/>
      <c r="M221" s="37"/>
      <c r="N221" s="37"/>
      <c r="O221" s="37"/>
      <c r="P221" s="37"/>
      <c r="Q221" s="53">
        <f>'[3]Forecast (pcs.)'!Q221</f>
        <v>0</v>
      </c>
      <c r="R221" s="53">
        <f>'[3]Forecast (pcs.)'!R221</f>
        <v>0</v>
      </c>
      <c r="S221" s="53">
        <f>'[3]Forecast (pcs.)'!S221</f>
        <v>0</v>
      </c>
      <c r="T221" s="53">
        <f>'[3]Forecast (pcs.)'!T221</f>
        <v>0</v>
      </c>
      <c r="U221" s="53">
        <f>'[3]Forecast (pcs.)'!U221</f>
        <v>0</v>
      </c>
      <c r="V221" s="53">
        <f>'[3]Forecast (pcs.)'!V221</f>
        <v>0</v>
      </c>
      <c r="W221" s="53">
        <f>'[3]Forecast (pcs.)'!W221</f>
        <v>0</v>
      </c>
      <c r="X221" s="53">
        <f>'[3]Forecast (pcs.)'!X221</f>
        <v>0</v>
      </c>
      <c r="Y221" s="53">
        <f>'[3]Forecast (pcs.)'!Y221</f>
        <v>0</v>
      </c>
      <c r="Z221" s="53">
        <f>'[3]Forecast (pcs.)'!Z221</f>
        <v>0</v>
      </c>
      <c r="AA221" s="53">
        <f>'[3]Forecast (pcs.)'!AA221</f>
        <v>0</v>
      </c>
      <c r="AB221" s="53">
        <f>'[3]Forecast (pcs.)'!AB221</f>
        <v>0</v>
      </c>
      <c r="AD221" s="6"/>
    </row>
    <row r="222" spans="1:30" ht="15" customHeight="1" x14ac:dyDescent="0.25">
      <c r="A222" s="2">
        <v>6133</v>
      </c>
      <c r="B222" s="15" t="s">
        <v>379</v>
      </c>
      <c r="C222" s="15">
        <v>6133</v>
      </c>
      <c r="D222" s="16" t="s">
        <v>397</v>
      </c>
      <c r="E222" s="17">
        <v>0</v>
      </c>
      <c r="F222" s="18">
        <v>0</v>
      </c>
      <c r="G222" s="19"/>
      <c r="H222" s="19"/>
      <c r="I222" s="37"/>
      <c r="J222" s="37"/>
      <c r="K222" s="37"/>
      <c r="L222" s="37"/>
      <c r="M222" s="37"/>
      <c r="N222" s="37"/>
      <c r="O222" s="37"/>
      <c r="P222" s="37"/>
      <c r="Q222" s="53">
        <f>'[3]Forecast (pcs.)'!Q222</f>
        <v>0</v>
      </c>
      <c r="R222" s="53">
        <f>'[3]Forecast (pcs.)'!R222</f>
        <v>0</v>
      </c>
      <c r="S222" s="53">
        <f>'[3]Forecast (pcs.)'!S222</f>
        <v>0</v>
      </c>
      <c r="T222" s="53">
        <f>'[3]Forecast (pcs.)'!T222</f>
        <v>0</v>
      </c>
      <c r="U222" s="53">
        <f>'[3]Forecast (pcs.)'!U222</f>
        <v>0</v>
      </c>
      <c r="V222" s="53">
        <f>'[3]Forecast (pcs.)'!V222</f>
        <v>0</v>
      </c>
      <c r="W222" s="53">
        <f>'[3]Forecast (pcs.)'!W222</f>
        <v>0</v>
      </c>
      <c r="X222" s="53">
        <f>'[3]Forecast (pcs.)'!X222</f>
        <v>0</v>
      </c>
      <c r="Y222" s="53">
        <f>'[3]Forecast (pcs.)'!Y222</f>
        <v>0</v>
      </c>
      <c r="Z222" s="53">
        <f>'[3]Forecast (pcs.)'!Z222</f>
        <v>0</v>
      </c>
      <c r="AA222" s="53">
        <f>'[3]Forecast (pcs.)'!AA222</f>
        <v>0</v>
      </c>
      <c r="AB222" s="53">
        <f>'[3]Forecast (pcs.)'!AB222</f>
        <v>0</v>
      </c>
      <c r="AD222" s="6"/>
    </row>
    <row r="223" spans="1:30" ht="15" customHeight="1" x14ac:dyDescent="0.25">
      <c r="A223" s="2">
        <v>6134</v>
      </c>
      <c r="B223" s="15" t="s">
        <v>379</v>
      </c>
      <c r="C223" s="15">
        <v>6134</v>
      </c>
      <c r="D223" s="16" t="s">
        <v>398</v>
      </c>
      <c r="E223" s="17">
        <v>0</v>
      </c>
      <c r="F223" s="18">
        <v>0</v>
      </c>
      <c r="G223" s="19"/>
      <c r="H223" s="19"/>
      <c r="I223" s="37"/>
      <c r="J223" s="37"/>
      <c r="K223" s="37"/>
      <c r="L223" s="37"/>
      <c r="M223" s="37"/>
      <c r="N223" s="37"/>
      <c r="O223" s="37"/>
      <c r="P223" s="37"/>
      <c r="Q223" s="53">
        <f>'[3]Forecast (pcs.)'!Q223</f>
        <v>0</v>
      </c>
      <c r="R223" s="53">
        <f>'[3]Forecast (pcs.)'!R223</f>
        <v>0</v>
      </c>
      <c r="S223" s="53">
        <f>'[3]Forecast (pcs.)'!S223</f>
        <v>0</v>
      </c>
      <c r="T223" s="53">
        <f>'[3]Forecast (pcs.)'!T223</f>
        <v>0</v>
      </c>
      <c r="U223" s="53">
        <f>'[3]Forecast (pcs.)'!U223</f>
        <v>0</v>
      </c>
      <c r="V223" s="53">
        <f>'[3]Forecast (pcs.)'!V223</f>
        <v>0</v>
      </c>
      <c r="W223" s="53">
        <f>'[3]Forecast (pcs.)'!W223</f>
        <v>0</v>
      </c>
      <c r="X223" s="53">
        <f>'[3]Forecast (pcs.)'!X223</f>
        <v>0</v>
      </c>
      <c r="Y223" s="53">
        <f>'[3]Forecast (pcs.)'!Y223</f>
        <v>0</v>
      </c>
      <c r="Z223" s="53">
        <f>'[3]Forecast (pcs.)'!Z223</f>
        <v>0</v>
      </c>
      <c r="AA223" s="53">
        <f>'[3]Forecast (pcs.)'!AA223</f>
        <v>0</v>
      </c>
      <c r="AB223" s="53">
        <f>'[3]Forecast (pcs.)'!AB223</f>
        <v>0</v>
      </c>
      <c r="AD223" s="6"/>
    </row>
    <row r="224" spans="1:30" ht="15" customHeight="1" x14ac:dyDescent="0.25">
      <c r="A224" s="2">
        <v>6135</v>
      </c>
      <c r="B224" s="15" t="s">
        <v>379</v>
      </c>
      <c r="C224" s="15">
        <v>6135</v>
      </c>
      <c r="D224" s="16" t="s">
        <v>399</v>
      </c>
      <c r="E224" s="17">
        <v>0</v>
      </c>
      <c r="F224" s="18">
        <v>0</v>
      </c>
      <c r="G224" s="19"/>
      <c r="H224" s="19"/>
      <c r="I224" s="37"/>
      <c r="J224" s="37"/>
      <c r="K224" s="37"/>
      <c r="L224" s="37"/>
      <c r="M224" s="37"/>
      <c r="N224" s="37"/>
      <c r="O224" s="37"/>
      <c r="P224" s="37"/>
      <c r="Q224" s="53">
        <f>'[3]Forecast (pcs.)'!Q224</f>
        <v>0</v>
      </c>
      <c r="R224" s="53">
        <f>'[3]Forecast (pcs.)'!R224</f>
        <v>0</v>
      </c>
      <c r="S224" s="53">
        <f>'[3]Forecast (pcs.)'!S224</f>
        <v>0</v>
      </c>
      <c r="T224" s="53">
        <f>'[3]Forecast (pcs.)'!T224</f>
        <v>0</v>
      </c>
      <c r="U224" s="53">
        <f>'[3]Forecast (pcs.)'!U224</f>
        <v>0</v>
      </c>
      <c r="V224" s="53">
        <f>'[3]Forecast (pcs.)'!V224</f>
        <v>0</v>
      </c>
      <c r="W224" s="53">
        <f>'[3]Forecast (pcs.)'!W224</f>
        <v>0</v>
      </c>
      <c r="X224" s="53">
        <f>'[3]Forecast (pcs.)'!X224</f>
        <v>0</v>
      </c>
      <c r="Y224" s="53">
        <f>'[3]Forecast (pcs.)'!Y224</f>
        <v>0</v>
      </c>
      <c r="Z224" s="53">
        <f>'[3]Forecast (pcs.)'!Z224</f>
        <v>0</v>
      </c>
      <c r="AA224" s="53">
        <f>'[3]Forecast (pcs.)'!AA224</f>
        <v>0</v>
      </c>
      <c r="AB224" s="53">
        <f>'[3]Forecast (pcs.)'!AB224</f>
        <v>0</v>
      </c>
      <c r="AD224" s="6"/>
    </row>
    <row r="225" spans="1:30" ht="15" customHeight="1" x14ac:dyDescent="0.25">
      <c r="A225" s="2">
        <v>6136</v>
      </c>
      <c r="B225" s="15" t="s">
        <v>379</v>
      </c>
      <c r="C225" s="15">
        <v>6136</v>
      </c>
      <c r="D225" s="16" t="s">
        <v>400</v>
      </c>
      <c r="E225" s="17">
        <v>0</v>
      </c>
      <c r="F225" s="18">
        <v>0</v>
      </c>
      <c r="G225" s="19"/>
      <c r="H225" s="19"/>
      <c r="I225" s="37"/>
      <c r="J225" s="37"/>
      <c r="K225" s="37"/>
      <c r="L225" s="37"/>
      <c r="M225" s="37"/>
      <c r="N225" s="37"/>
      <c r="O225" s="37"/>
      <c r="P225" s="37"/>
      <c r="Q225" s="53">
        <f>'[3]Forecast (pcs.)'!Q225</f>
        <v>0</v>
      </c>
      <c r="R225" s="53">
        <f>'[3]Forecast (pcs.)'!R225</f>
        <v>0</v>
      </c>
      <c r="S225" s="53">
        <f>'[3]Forecast (pcs.)'!S225</f>
        <v>0</v>
      </c>
      <c r="T225" s="53">
        <f>'[3]Forecast (pcs.)'!T225</f>
        <v>0</v>
      </c>
      <c r="U225" s="53">
        <f>'[3]Forecast (pcs.)'!U225</f>
        <v>0</v>
      </c>
      <c r="V225" s="53">
        <f>'[3]Forecast (pcs.)'!V225</f>
        <v>0</v>
      </c>
      <c r="W225" s="53">
        <f>'[3]Forecast (pcs.)'!W225</f>
        <v>0</v>
      </c>
      <c r="X225" s="53">
        <f>'[3]Forecast (pcs.)'!X225</f>
        <v>0</v>
      </c>
      <c r="Y225" s="53">
        <f>'[3]Forecast (pcs.)'!Y225</f>
        <v>0</v>
      </c>
      <c r="Z225" s="53">
        <f>'[3]Forecast (pcs.)'!Z225</f>
        <v>0</v>
      </c>
      <c r="AA225" s="53">
        <f>'[3]Forecast (pcs.)'!AA225</f>
        <v>0</v>
      </c>
      <c r="AB225" s="53">
        <f>'[3]Forecast (pcs.)'!AB225</f>
        <v>0</v>
      </c>
      <c r="AD225" s="6"/>
    </row>
    <row r="226" spans="1:30" ht="15" customHeight="1" x14ac:dyDescent="0.25">
      <c r="A226" s="2">
        <v>6139</v>
      </c>
      <c r="B226" s="15" t="s">
        <v>379</v>
      </c>
      <c r="C226" s="15">
        <v>6139</v>
      </c>
      <c r="D226" s="16" t="s">
        <v>401</v>
      </c>
      <c r="E226" s="17">
        <v>0</v>
      </c>
      <c r="F226" s="18">
        <v>0</v>
      </c>
      <c r="G226" s="19"/>
      <c r="H226" s="19"/>
      <c r="I226" s="37"/>
      <c r="J226" s="37"/>
      <c r="K226" s="37"/>
      <c r="L226" s="37"/>
      <c r="M226" s="37"/>
      <c r="N226" s="37"/>
      <c r="O226" s="37"/>
      <c r="P226" s="37"/>
      <c r="Q226" s="53">
        <f>'[3]Forecast (pcs.)'!Q226</f>
        <v>0</v>
      </c>
      <c r="R226" s="53">
        <f>'[3]Forecast (pcs.)'!R226</f>
        <v>0</v>
      </c>
      <c r="S226" s="53">
        <f>'[3]Forecast (pcs.)'!S226</f>
        <v>0</v>
      </c>
      <c r="T226" s="53">
        <f>'[3]Forecast (pcs.)'!T226</f>
        <v>0</v>
      </c>
      <c r="U226" s="53">
        <f>'[3]Forecast (pcs.)'!U226</f>
        <v>0</v>
      </c>
      <c r="V226" s="53">
        <f>'[3]Forecast (pcs.)'!V226</f>
        <v>0</v>
      </c>
      <c r="W226" s="53">
        <f>'[3]Forecast (pcs.)'!W226</f>
        <v>0</v>
      </c>
      <c r="X226" s="53">
        <f>'[3]Forecast (pcs.)'!X226</f>
        <v>0</v>
      </c>
      <c r="Y226" s="53">
        <f>'[3]Forecast (pcs.)'!Y226</f>
        <v>0</v>
      </c>
      <c r="Z226" s="53">
        <f>'[3]Forecast (pcs.)'!Z226</f>
        <v>0</v>
      </c>
      <c r="AA226" s="53">
        <f>'[3]Forecast (pcs.)'!AA226</f>
        <v>0</v>
      </c>
      <c r="AB226" s="53">
        <f>'[3]Forecast (pcs.)'!AB226</f>
        <v>0</v>
      </c>
      <c r="AD226" s="6"/>
    </row>
    <row r="227" spans="1:30" ht="15" customHeight="1" x14ac:dyDescent="0.25">
      <c r="A227" s="2">
        <v>6140</v>
      </c>
      <c r="B227" s="15" t="s">
        <v>379</v>
      </c>
      <c r="C227" s="15">
        <v>6140</v>
      </c>
      <c r="D227" s="16" t="s">
        <v>402</v>
      </c>
      <c r="E227" s="17">
        <v>0</v>
      </c>
      <c r="F227" s="18">
        <v>0</v>
      </c>
      <c r="G227" s="19"/>
      <c r="H227" s="19"/>
      <c r="I227" s="37"/>
      <c r="J227" s="37"/>
      <c r="K227" s="37"/>
      <c r="L227" s="37"/>
      <c r="M227" s="37"/>
      <c r="N227" s="37"/>
      <c r="O227" s="37"/>
      <c r="P227" s="37"/>
      <c r="Q227" s="53">
        <f>'[3]Forecast (pcs.)'!Q227</f>
        <v>0</v>
      </c>
      <c r="R227" s="53">
        <f>'[3]Forecast (pcs.)'!R227</f>
        <v>0</v>
      </c>
      <c r="S227" s="53">
        <f>'[3]Forecast (pcs.)'!S227</f>
        <v>0</v>
      </c>
      <c r="T227" s="53">
        <f>'[3]Forecast (pcs.)'!T227</f>
        <v>0</v>
      </c>
      <c r="U227" s="53">
        <f>'[3]Forecast (pcs.)'!U227</f>
        <v>0</v>
      </c>
      <c r="V227" s="53">
        <f>'[3]Forecast (pcs.)'!V227</f>
        <v>0</v>
      </c>
      <c r="W227" s="53">
        <f>'[3]Forecast (pcs.)'!W227</f>
        <v>0</v>
      </c>
      <c r="X227" s="53">
        <f>'[3]Forecast (pcs.)'!X227</f>
        <v>0</v>
      </c>
      <c r="Y227" s="53">
        <f>'[3]Forecast (pcs.)'!Y227</f>
        <v>0</v>
      </c>
      <c r="Z227" s="53">
        <f>'[3]Forecast (pcs.)'!Z227</f>
        <v>0</v>
      </c>
      <c r="AA227" s="53">
        <f>'[3]Forecast (pcs.)'!AA227</f>
        <v>0</v>
      </c>
      <c r="AB227" s="53">
        <f>'[3]Forecast (pcs.)'!AB227</f>
        <v>0</v>
      </c>
      <c r="AD227" s="6"/>
    </row>
    <row r="228" spans="1:30" ht="15" customHeight="1" x14ac:dyDescent="0.25">
      <c r="A228" s="2">
        <v>6164</v>
      </c>
      <c r="B228" s="15" t="s">
        <v>379</v>
      </c>
      <c r="C228" s="15">
        <v>6164</v>
      </c>
      <c r="D228" s="16" t="s">
        <v>403</v>
      </c>
      <c r="E228" s="17">
        <v>0</v>
      </c>
      <c r="F228" s="18">
        <v>0</v>
      </c>
      <c r="G228" s="19"/>
      <c r="H228" s="19"/>
      <c r="I228" s="37"/>
      <c r="J228" s="37"/>
      <c r="K228" s="37"/>
      <c r="L228" s="37"/>
      <c r="M228" s="37"/>
      <c r="N228" s="37"/>
      <c r="O228" s="37"/>
      <c r="P228" s="37"/>
      <c r="Q228" s="53">
        <f>'[3]Forecast (pcs.)'!Q228</f>
        <v>0</v>
      </c>
      <c r="R228" s="53">
        <f>'[3]Forecast (pcs.)'!R228</f>
        <v>0</v>
      </c>
      <c r="S228" s="53">
        <f>'[3]Forecast (pcs.)'!S228</f>
        <v>0</v>
      </c>
      <c r="T228" s="53">
        <f>'[3]Forecast (pcs.)'!T228</f>
        <v>0</v>
      </c>
      <c r="U228" s="53">
        <f>'[3]Forecast (pcs.)'!U228</f>
        <v>0</v>
      </c>
      <c r="V228" s="53">
        <f>'[3]Forecast (pcs.)'!V228</f>
        <v>0</v>
      </c>
      <c r="W228" s="53">
        <f>'[3]Forecast (pcs.)'!W228</f>
        <v>0</v>
      </c>
      <c r="X228" s="53">
        <f>'[3]Forecast (pcs.)'!X228</f>
        <v>0</v>
      </c>
      <c r="Y228" s="53">
        <f>'[3]Forecast (pcs.)'!Y228</f>
        <v>0</v>
      </c>
      <c r="Z228" s="53">
        <f>'[3]Forecast (pcs.)'!Z228</f>
        <v>0</v>
      </c>
      <c r="AA228" s="53">
        <f>'[3]Forecast (pcs.)'!AA228</f>
        <v>0</v>
      </c>
      <c r="AB228" s="53">
        <f>'[3]Forecast (pcs.)'!AB228</f>
        <v>0</v>
      </c>
      <c r="AD228" s="6"/>
    </row>
    <row r="229" spans="1:30" ht="15" customHeight="1" x14ac:dyDescent="0.25">
      <c r="A229" s="2" t="s">
        <v>404</v>
      </c>
      <c r="B229" s="15" t="s">
        <v>379</v>
      </c>
      <c r="C229" s="15" t="s">
        <v>404</v>
      </c>
      <c r="D229" s="16" t="s">
        <v>405</v>
      </c>
      <c r="E229" s="17">
        <v>0</v>
      </c>
      <c r="F229" s="18">
        <v>0</v>
      </c>
      <c r="G229" s="19"/>
      <c r="H229" s="19"/>
      <c r="I229" s="37"/>
      <c r="J229" s="37"/>
      <c r="K229" s="37"/>
      <c r="L229" s="37"/>
      <c r="M229" s="37"/>
      <c r="N229" s="37"/>
      <c r="O229" s="37"/>
      <c r="P229" s="37"/>
      <c r="Q229" s="53">
        <f>'[3]Forecast (pcs.)'!Q229</f>
        <v>0</v>
      </c>
      <c r="R229" s="53">
        <f>'[3]Forecast (pcs.)'!R229</f>
        <v>0</v>
      </c>
      <c r="S229" s="53">
        <f>'[3]Forecast (pcs.)'!S229</f>
        <v>0</v>
      </c>
      <c r="T229" s="53">
        <f>'[3]Forecast (pcs.)'!T229</f>
        <v>0</v>
      </c>
      <c r="U229" s="53">
        <f>'[3]Forecast (pcs.)'!U229</f>
        <v>0</v>
      </c>
      <c r="V229" s="53">
        <f>'[3]Forecast (pcs.)'!V229</f>
        <v>0</v>
      </c>
      <c r="W229" s="53">
        <f>'[3]Forecast (pcs.)'!W229</f>
        <v>0</v>
      </c>
      <c r="X229" s="53">
        <f>'[3]Forecast (pcs.)'!X229</f>
        <v>0</v>
      </c>
      <c r="Y229" s="53">
        <f>'[3]Forecast (pcs.)'!Y229</f>
        <v>0</v>
      </c>
      <c r="Z229" s="53">
        <f>'[3]Forecast (pcs.)'!Z229</f>
        <v>0</v>
      </c>
      <c r="AA229" s="53">
        <f>'[3]Forecast (pcs.)'!AA229</f>
        <v>0</v>
      </c>
      <c r="AB229" s="53">
        <f>'[3]Forecast (pcs.)'!AB229</f>
        <v>0</v>
      </c>
      <c r="AD229" s="6"/>
    </row>
    <row r="230" spans="1:30" ht="15" customHeight="1" x14ac:dyDescent="0.25">
      <c r="A230" s="2" t="s">
        <v>406</v>
      </c>
      <c r="B230" s="15" t="s">
        <v>379</v>
      </c>
      <c r="C230" s="15" t="s">
        <v>406</v>
      </c>
      <c r="D230" s="16" t="s">
        <v>407</v>
      </c>
      <c r="E230" s="17">
        <v>0</v>
      </c>
      <c r="F230" s="18">
        <v>0</v>
      </c>
      <c r="G230" s="19"/>
      <c r="H230" s="19"/>
      <c r="I230" s="37"/>
      <c r="J230" s="37"/>
      <c r="K230" s="37"/>
      <c r="L230" s="37"/>
      <c r="M230" s="37"/>
      <c r="N230" s="37"/>
      <c r="O230" s="37"/>
      <c r="P230" s="37"/>
      <c r="Q230" s="53">
        <f>'[3]Forecast (pcs.)'!Q230</f>
        <v>0</v>
      </c>
      <c r="R230" s="53">
        <f>'[3]Forecast (pcs.)'!R230</f>
        <v>0</v>
      </c>
      <c r="S230" s="53">
        <f>'[3]Forecast (pcs.)'!S230</f>
        <v>0</v>
      </c>
      <c r="T230" s="53">
        <f>'[3]Forecast (pcs.)'!T230</f>
        <v>0</v>
      </c>
      <c r="U230" s="53">
        <f>'[3]Forecast (pcs.)'!U230</f>
        <v>0</v>
      </c>
      <c r="V230" s="53">
        <f>'[3]Forecast (pcs.)'!V230</f>
        <v>0</v>
      </c>
      <c r="W230" s="53">
        <f>'[3]Forecast (pcs.)'!W230</f>
        <v>0</v>
      </c>
      <c r="X230" s="53">
        <f>'[3]Forecast (pcs.)'!X230</f>
        <v>0</v>
      </c>
      <c r="Y230" s="53">
        <f>'[3]Forecast (pcs.)'!Y230</f>
        <v>0</v>
      </c>
      <c r="Z230" s="53">
        <f>'[3]Forecast (pcs.)'!Z230</f>
        <v>0</v>
      </c>
      <c r="AA230" s="53">
        <f>'[3]Forecast (pcs.)'!AA230</f>
        <v>0</v>
      </c>
      <c r="AB230" s="53">
        <f>'[3]Forecast (pcs.)'!AB230</f>
        <v>0</v>
      </c>
      <c r="AD230" s="6"/>
    </row>
    <row r="231" spans="1:30" ht="15" customHeight="1" x14ac:dyDescent="0.25">
      <c r="A231" s="2" t="s">
        <v>408</v>
      </c>
      <c r="B231" s="15" t="s">
        <v>379</v>
      </c>
      <c r="C231" s="15" t="s">
        <v>408</v>
      </c>
      <c r="D231" s="16" t="s">
        <v>409</v>
      </c>
      <c r="E231" s="17">
        <v>0</v>
      </c>
      <c r="F231" s="18">
        <v>0</v>
      </c>
      <c r="G231" s="19"/>
      <c r="H231" s="19"/>
      <c r="I231" s="37"/>
      <c r="J231" s="37"/>
      <c r="K231" s="37"/>
      <c r="L231" s="37"/>
      <c r="M231" s="37"/>
      <c r="N231" s="37"/>
      <c r="O231" s="37"/>
      <c r="P231" s="37"/>
      <c r="Q231" s="53">
        <f>'[3]Forecast (pcs.)'!Q231</f>
        <v>0</v>
      </c>
      <c r="R231" s="53">
        <f>'[3]Forecast (pcs.)'!R231</f>
        <v>0</v>
      </c>
      <c r="S231" s="53">
        <f>'[3]Forecast (pcs.)'!S231</f>
        <v>0</v>
      </c>
      <c r="T231" s="53">
        <f>'[3]Forecast (pcs.)'!T231</f>
        <v>0</v>
      </c>
      <c r="U231" s="53">
        <f>'[3]Forecast (pcs.)'!U231</f>
        <v>0</v>
      </c>
      <c r="V231" s="53">
        <f>'[3]Forecast (pcs.)'!V231</f>
        <v>0</v>
      </c>
      <c r="W231" s="53">
        <f>'[3]Forecast (pcs.)'!W231</f>
        <v>0</v>
      </c>
      <c r="X231" s="53">
        <f>'[3]Forecast (pcs.)'!X231</f>
        <v>0</v>
      </c>
      <c r="Y231" s="53">
        <f>'[3]Forecast (pcs.)'!Y231</f>
        <v>0</v>
      </c>
      <c r="Z231" s="53">
        <f>'[3]Forecast (pcs.)'!Z231</f>
        <v>0</v>
      </c>
      <c r="AA231" s="53">
        <f>'[3]Forecast (pcs.)'!AA231</f>
        <v>0</v>
      </c>
      <c r="AB231" s="53">
        <f>'[3]Forecast (pcs.)'!AB231</f>
        <v>0</v>
      </c>
      <c r="AD231" s="6"/>
    </row>
    <row r="232" spans="1:30" ht="15" customHeight="1" x14ac:dyDescent="0.25">
      <c r="A232" s="2" t="s">
        <v>410</v>
      </c>
      <c r="B232" s="15" t="s">
        <v>379</v>
      </c>
      <c r="C232" s="15" t="s">
        <v>410</v>
      </c>
      <c r="D232" s="16" t="s">
        <v>411</v>
      </c>
      <c r="E232" s="17">
        <v>0</v>
      </c>
      <c r="F232" s="18">
        <v>0</v>
      </c>
      <c r="G232" s="19"/>
      <c r="H232" s="19"/>
      <c r="I232" s="37"/>
      <c r="J232" s="37"/>
      <c r="K232" s="37"/>
      <c r="L232" s="37"/>
      <c r="M232" s="37"/>
      <c r="N232" s="37"/>
      <c r="O232" s="37"/>
      <c r="P232" s="37"/>
      <c r="Q232" s="53">
        <f>'[3]Forecast (pcs.)'!Q232</f>
        <v>0</v>
      </c>
      <c r="R232" s="53">
        <f>'[3]Forecast (pcs.)'!R232</f>
        <v>0</v>
      </c>
      <c r="S232" s="53">
        <f>'[3]Forecast (pcs.)'!S232</f>
        <v>0</v>
      </c>
      <c r="T232" s="53">
        <f>'[3]Forecast (pcs.)'!T232</f>
        <v>0</v>
      </c>
      <c r="U232" s="53">
        <f>'[3]Forecast (pcs.)'!U232</f>
        <v>0</v>
      </c>
      <c r="V232" s="53">
        <f>'[3]Forecast (pcs.)'!V232</f>
        <v>0</v>
      </c>
      <c r="W232" s="53">
        <f>'[3]Forecast (pcs.)'!W232</f>
        <v>0</v>
      </c>
      <c r="X232" s="53">
        <f>'[3]Forecast (pcs.)'!X232</f>
        <v>0</v>
      </c>
      <c r="Y232" s="53">
        <f>'[3]Forecast (pcs.)'!Y232</f>
        <v>0</v>
      </c>
      <c r="Z232" s="53">
        <f>'[3]Forecast (pcs.)'!Z232</f>
        <v>0</v>
      </c>
      <c r="AA232" s="53">
        <f>'[3]Forecast (pcs.)'!AA232</f>
        <v>0</v>
      </c>
      <c r="AB232" s="53">
        <f>'[3]Forecast (pcs.)'!AB232</f>
        <v>0</v>
      </c>
      <c r="AD232" s="6"/>
    </row>
    <row r="233" spans="1:30" ht="15" customHeight="1" x14ac:dyDescent="0.25">
      <c r="A233" s="2" t="s">
        <v>412</v>
      </c>
      <c r="B233" s="15" t="s">
        <v>379</v>
      </c>
      <c r="C233" s="15" t="s">
        <v>412</v>
      </c>
      <c r="D233" s="16" t="s">
        <v>413</v>
      </c>
      <c r="E233" s="17">
        <v>0</v>
      </c>
      <c r="F233" s="18">
        <v>0</v>
      </c>
      <c r="G233" s="19"/>
      <c r="H233" s="19"/>
      <c r="I233" s="37"/>
      <c r="J233" s="37"/>
      <c r="K233" s="37"/>
      <c r="L233" s="37"/>
      <c r="M233" s="37"/>
      <c r="N233" s="37"/>
      <c r="O233" s="37"/>
      <c r="P233" s="37"/>
      <c r="Q233" s="53">
        <f>'[3]Forecast (pcs.)'!Q233</f>
        <v>0</v>
      </c>
      <c r="R233" s="53">
        <f>'[3]Forecast (pcs.)'!R233</f>
        <v>0</v>
      </c>
      <c r="S233" s="53">
        <f>'[3]Forecast (pcs.)'!S233</f>
        <v>0</v>
      </c>
      <c r="T233" s="53">
        <f>'[3]Forecast (pcs.)'!T233</f>
        <v>0</v>
      </c>
      <c r="U233" s="53">
        <f>'[3]Forecast (pcs.)'!U233</f>
        <v>0</v>
      </c>
      <c r="V233" s="53">
        <f>'[3]Forecast (pcs.)'!V233</f>
        <v>0</v>
      </c>
      <c r="W233" s="53">
        <f>'[3]Forecast (pcs.)'!W233</f>
        <v>0</v>
      </c>
      <c r="X233" s="53">
        <f>'[3]Forecast (pcs.)'!X233</f>
        <v>0</v>
      </c>
      <c r="Y233" s="53">
        <f>'[3]Forecast (pcs.)'!Y233</f>
        <v>0</v>
      </c>
      <c r="Z233" s="53">
        <f>'[3]Forecast (pcs.)'!Z233</f>
        <v>0</v>
      </c>
      <c r="AA233" s="53">
        <f>'[3]Forecast (pcs.)'!AA233</f>
        <v>0</v>
      </c>
      <c r="AB233" s="53">
        <f>'[3]Forecast (pcs.)'!AB233</f>
        <v>0</v>
      </c>
      <c r="AD233" s="6"/>
    </row>
    <row r="234" spans="1:30" ht="15" customHeight="1" x14ac:dyDescent="0.25">
      <c r="A234" s="2" t="s">
        <v>414</v>
      </c>
      <c r="B234" s="15" t="s">
        <v>379</v>
      </c>
      <c r="C234" s="15" t="s">
        <v>414</v>
      </c>
      <c r="D234" s="16" t="s">
        <v>415</v>
      </c>
      <c r="E234" s="17">
        <v>0</v>
      </c>
      <c r="F234" s="18">
        <v>0</v>
      </c>
      <c r="G234" s="19"/>
      <c r="H234" s="19"/>
      <c r="I234" s="37"/>
      <c r="J234" s="37"/>
      <c r="K234" s="37"/>
      <c r="L234" s="37"/>
      <c r="M234" s="37"/>
      <c r="N234" s="37"/>
      <c r="O234" s="37"/>
      <c r="P234" s="37"/>
      <c r="Q234" s="53">
        <f>'[3]Forecast (pcs.)'!Q234</f>
        <v>0</v>
      </c>
      <c r="R234" s="53">
        <f>'[3]Forecast (pcs.)'!R234</f>
        <v>0</v>
      </c>
      <c r="S234" s="53">
        <f>'[3]Forecast (pcs.)'!S234</f>
        <v>0</v>
      </c>
      <c r="T234" s="53">
        <f>'[3]Forecast (pcs.)'!T234</f>
        <v>0</v>
      </c>
      <c r="U234" s="53">
        <f>'[3]Forecast (pcs.)'!U234</f>
        <v>0</v>
      </c>
      <c r="V234" s="53">
        <f>'[3]Forecast (pcs.)'!V234</f>
        <v>0</v>
      </c>
      <c r="W234" s="53">
        <f>'[3]Forecast (pcs.)'!W234</f>
        <v>0</v>
      </c>
      <c r="X234" s="53">
        <f>'[3]Forecast (pcs.)'!X234</f>
        <v>0</v>
      </c>
      <c r="Y234" s="53">
        <f>'[3]Forecast (pcs.)'!Y234</f>
        <v>0</v>
      </c>
      <c r="Z234" s="53">
        <f>'[3]Forecast (pcs.)'!Z234</f>
        <v>0</v>
      </c>
      <c r="AA234" s="53">
        <f>'[3]Forecast (pcs.)'!AA234</f>
        <v>0</v>
      </c>
      <c r="AB234" s="53">
        <f>'[3]Forecast (pcs.)'!AB234</f>
        <v>0</v>
      </c>
      <c r="AD234" s="6"/>
    </row>
    <row r="235" spans="1:30" ht="15" customHeight="1" x14ac:dyDescent="0.25">
      <c r="A235" s="2" t="s">
        <v>416</v>
      </c>
      <c r="B235" s="15" t="s">
        <v>379</v>
      </c>
      <c r="C235" s="15" t="s">
        <v>416</v>
      </c>
      <c r="D235" s="16" t="s">
        <v>417</v>
      </c>
      <c r="E235" s="17">
        <v>0</v>
      </c>
      <c r="F235" s="18">
        <v>0</v>
      </c>
      <c r="G235" s="19"/>
      <c r="H235" s="19"/>
      <c r="I235" s="37"/>
      <c r="J235" s="37"/>
      <c r="K235" s="37"/>
      <c r="L235" s="37"/>
      <c r="M235" s="37"/>
      <c r="N235" s="37"/>
      <c r="O235" s="37"/>
      <c r="P235" s="37"/>
      <c r="Q235" s="53">
        <f>'[3]Forecast (pcs.)'!Q235</f>
        <v>0</v>
      </c>
      <c r="R235" s="53">
        <f>'[3]Forecast (pcs.)'!R235</f>
        <v>0</v>
      </c>
      <c r="S235" s="53">
        <f>'[3]Forecast (pcs.)'!S235</f>
        <v>0</v>
      </c>
      <c r="T235" s="53">
        <f>'[3]Forecast (pcs.)'!T235</f>
        <v>0</v>
      </c>
      <c r="U235" s="53">
        <f>'[3]Forecast (pcs.)'!U235</f>
        <v>0</v>
      </c>
      <c r="V235" s="53">
        <f>'[3]Forecast (pcs.)'!V235</f>
        <v>0</v>
      </c>
      <c r="W235" s="53">
        <f>'[3]Forecast (pcs.)'!W235</f>
        <v>0</v>
      </c>
      <c r="X235" s="53">
        <f>'[3]Forecast (pcs.)'!X235</f>
        <v>0</v>
      </c>
      <c r="Y235" s="53">
        <f>'[3]Forecast (pcs.)'!Y235</f>
        <v>0</v>
      </c>
      <c r="Z235" s="53">
        <f>'[3]Forecast (pcs.)'!Z235</f>
        <v>0</v>
      </c>
      <c r="AA235" s="53">
        <f>'[3]Forecast (pcs.)'!AA235</f>
        <v>0</v>
      </c>
      <c r="AB235" s="53">
        <f>'[3]Forecast (pcs.)'!AB235</f>
        <v>0</v>
      </c>
      <c r="AD235" s="6"/>
    </row>
    <row r="236" spans="1:30" ht="15" customHeight="1" x14ac:dyDescent="0.25">
      <c r="A236" s="2" t="s">
        <v>418</v>
      </c>
      <c r="B236" s="15" t="s">
        <v>379</v>
      </c>
      <c r="C236" s="15" t="s">
        <v>418</v>
      </c>
      <c r="D236" s="16" t="s">
        <v>419</v>
      </c>
      <c r="E236" s="17">
        <v>0</v>
      </c>
      <c r="F236" s="18">
        <v>0</v>
      </c>
      <c r="G236" s="19"/>
      <c r="H236" s="19"/>
      <c r="I236" s="37"/>
      <c r="J236" s="37"/>
      <c r="K236" s="37"/>
      <c r="L236" s="37"/>
      <c r="M236" s="37"/>
      <c r="N236" s="37"/>
      <c r="O236" s="37"/>
      <c r="P236" s="37"/>
      <c r="Q236" s="53">
        <f>'[3]Forecast (pcs.)'!Q236</f>
        <v>0</v>
      </c>
      <c r="R236" s="53">
        <f>'[3]Forecast (pcs.)'!R236</f>
        <v>0</v>
      </c>
      <c r="S236" s="53">
        <f>'[3]Forecast (pcs.)'!S236</f>
        <v>0</v>
      </c>
      <c r="T236" s="53">
        <f>'[3]Forecast (pcs.)'!T236</f>
        <v>0</v>
      </c>
      <c r="U236" s="53">
        <f>'[3]Forecast (pcs.)'!U236</f>
        <v>0</v>
      </c>
      <c r="V236" s="53">
        <f>'[3]Forecast (pcs.)'!V236</f>
        <v>0</v>
      </c>
      <c r="W236" s="53">
        <f>'[3]Forecast (pcs.)'!W236</f>
        <v>0</v>
      </c>
      <c r="X236" s="53">
        <f>'[3]Forecast (pcs.)'!X236</f>
        <v>0</v>
      </c>
      <c r="Y236" s="53">
        <f>'[3]Forecast (pcs.)'!Y236</f>
        <v>0</v>
      </c>
      <c r="Z236" s="53">
        <f>'[3]Forecast (pcs.)'!Z236</f>
        <v>0</v>
      </c>
      <c r="AA236" s="53">
        <f>'[3]Forecast (pcs.)'!AA236</f>
        <v>0</v>
      </c>
      <c r="AB236" s="53">
        <f>'[3]Forecast (pcs.)'!AB236</f>
        <v>0</v>
      </c>
      <c r="AD236" s="6"/>
    </row>
    <row r="237" spans="1:30" ht="15" customHeight="1" x14ac:dyDescent="0.25">
      <c r="A237" s="2" t="s">
        <v>420</v>
      </c>
      <c r="B237" s="15" t="s">
        <v>379</v>
      </c>
      <c r="C237" s="15" t="s">
        <v>420</v>
      </c>
      <c r="D237" s="16" t="s">
        <v>421</v>
      </c>
      <c r="E237" s="17">
        <v>0</v>
      </c>
      <c r="F237" s="18">
        <v>0</v>
      </c>
      <c r="G237" s="19"/>
      <c r="H237" s="19"/>
      <c r="I237" s="37"/>
      <c r="J237" s="37"/>
      <c r="K237" s="37"/>
      <c r="L237" s="37"/>
      <c r="M237" s="37"/>
      <c r="N237" s="37"/>
      <c r="O237" s="37"/>
      <c r="P237" s="37"/>
      <c r="Q237" s="53">
        <f>'[3]Forecast (pcs.)'!Q237</f>
        <v>0</v>
      </c>
      <c r="R237" s="53">
        <f>'[3]Forecast (pcs.)'!R237</f>
        <v>0</v>
      </c>
      <c r="S237" s="53">
        <f>'[3]Forecast (pcs.)'!S237</f>
        <v>0</v>
      </c>
      <c r="T237" s="53">
        <f>'[3]Forecast (pcs.)'!T237</f>
        <v>0</v>
      </c>
      <c r="U237" s="53">
        <f>'[3]Forecast (pcs.)'!U237</f>
        <v>0</v>
      </c>
      <c r="V237" s="53">
        <f>'[3]Forecast (pcs.)'!V237</f>
        <v>0</v>
      </c>
      <c r="W237" s="53">
        <f>'[3]Forecast (pcs.)'!W237</f>
        <v>0</v>
      </c>
      <c r="X237" s="53">
        <f>'[3]Forecast (pcs.)'!X237</f>
        <v>0</v>
      </c>
      <c r="Y237" s="53">
        <f>'[3]Forecast (pcs.)'!Y237</f>
        <v>0</v>
      </c>
      <c r="Z237" s="53">
        <f>'[3]Forecast (pcs.)'!Z237</f>
        <v>0</v>
      </c>
      <c r="AA237" s="53">
        <f>'[3]Forecast (pcs.)'!AA237</f>
        <v>0</v>
      </c>
      <c r="AB237" s="53">
        <f>'[3]Forecast (pcs.)'!AB237</f>
        <v>0</v>
      </c>
      <c r="AD237" s="6"/>
    </row>
    <row r="238" spans="1:30" ht="15" customHeight="1" x14ac:dyDescent="0.25">
      <c r="A238" s="2" t="s">
        <v>422</v>
      </c>
      <c r="B238" s="15" t="s">
        <v>379</v>
      </c>
      <c r="C238" s="15" t="s">
        <v>422</v>
      </c>
      <c r="D238" s="16" t="s">
        <v>423</v>
      </c>
      <c r="E238" s="17">
        <v>0</v>
      </c>
      <c r="F238" s="18">
        <v>0</v>
      </c>
      <c r="G238" s="19"/>
      <c r="H238" s="19"/>
      <c r="I238" s="37"/>
      <c r="J238" s="37"/>
      <c r="K238" s="37"/>
      <c r="L238" s="37"/>
      <c r="M238" s="37"/>
      <c r="N238" s="37"/>
      <c r="O238" s="37"/>
      <c r="P238" s="37"/>
      <c r="Q238" s="53">
        <f>'[3]Forecast (pcs.)'!Q238</f>
        <v>0</v>
      </c>
      <c r="R238" s="53">
        <f>'[3]Forecast (pcs.)'!R238</f>
        <v>0</v>
      </c>
      <c r="S238" s="53">
        <f>'[3]Forecast (pcs.)'!S238</f>
        <v>0</v>
      </c>
      <c r="T238" s="53">
        <f>'[3]Forecast (pcs.)'!T238</f>
        <v>0</v>
      </c>
      <c r="U238" s="53">
        <f>'[3]Forecast (pcs.)'!U238</f>
        <v>0</v>
      </c>
      <c r="V238" s="53">
        <f>'[3]Forecast (pcs.)'!V238</f>
        <v>0</v>
      </c>
      <c r="W238" s="53">
        <f>'[3]Forecast (pcs.)'!W238</f>
        <v>0</v>
      </c>
      <c r="X238" s="53">
        <f>'[3]Forecast (pcs.)'!X238</f>
        <v>0</v>
      </c>
      <c r="Y238" s="53">
        <f>'[3]Forecast (pcs.)'!Y238</f>
        <v>0</v>
      </c>
      <c r="Z238" s="53">
        <f>'[3]Forecast (pcs.)'!Z238</f>
        <v>0</v>
      </c>
      <c r="AA238" s="53">
        <f>'[3]Forecast (pcs.)'!AA238</f>
        <v>0</v>
      </c>
      <c r="AB238" s="53">
        <f>'[3]Forecast (pcs.)'!AB238</f>
        <v>0</v>
      </c>
      <c r="AD238" s="6"/>
    </row>
    <row r="239" spans="1:30" ht="15" customHeight="1" x14ac:dyDescent="0.25">
      <c r="A239" s="2" t="s">
        <v>424</v>
      </c>
      <c r="B239" s="15" t="s">
        <v>379</v>
      </c>
      <c r="C239" s="15" t="s">
        <v>424</v>
      </c>
      <c r="D239" s="16" t="s">
        <v>425</v>
      </c>
      <c r="E239" s="17">
        <v>0</v>
      </c>
      <c r="F239" s="18">
        <v>0</v>
      </c>
      <c r="G239" s="19"/>
      <c r="H239" s="19"/>
      <c r="I239" s="37"/>
      <c r="J239" s="37"/>
      <c r="K239" s="37"/>
      <c r="L239" s="37"/>
      <c r="M239" s="37"/>
      <c r="N239" s="37"/>
      <c r="O239" s="37"/>
      <c r="P239" s="37"/>
      <c r="Q239" s="53">
        <f>'[3]Forecast (pcs.)'!Q239</f>
        <v>0</v>
      </c>
      <c r="R239" s="53">
        <f>'[3]Forecast (pcs.)'!R239</f>
        <v>0</v>
      </c>
      <c r="S239" s="53">
        <f>'[3]Forecast (pcs.)'!S239</f>
        <v>0</v>
      </c>
      <c r="T239" s="53">
        <f>'[3]Forecast (pcs.)'!T239</f>
        <v>0</v>
      </c>
      <c r="U239" s="53">
        <f>'[3]Forecast (pcs.)'!U239</f>
        <v>0</v>
      </c>
      <c r="V239" s="53">
        <f>'[3]Forecast (pcs.)'!V239</f>
        <v>0</v>
      </c>
      <c r="W239" s="53">
        <f>'[3]Forecast (pcs.)'!W239</f>
        <v>0</v>
      </c>
      <c r="X239" s="53">
        <f>'[3]Forecast (pcs.)'!X239</f>
        <v>0</v>
      </c>
      <c r="Y239" s="53">
        <f>'[3]Forecast (pcs.)'!Y239</f>
        <v>0</v>
      </c>
      <c r="Z239" s="53">
        <f>'[3]Forecast (pcs.)'!Z239</f>
        <v>0</v>
      </c>
      <c r="AA239" s="53">
        <f>'[3]Forecast (pcs.)'!AA239</f>
        <v>0</v>
      </c>
      <c r="AB239" s="53">
        <f>'[3]Forecast (pcs.)'!AB239</f>
        <v>0</v>
      </c>
      <c r="AD239" s="6"/>
    </row>
    <row r="240" spans="1:30" ht="15" customHeight="1" x14ac:dyDescent="0.25">
      <c r="A240" s="2">
        <v>5703</v>
      </c>
      <c r="B240" s="15" t="s">
        <v>49</v>
      </c>
      <c r="C240" s="15">
        <v>5703</v>
      </c>
      <c r="D240" s="16" t="s">
        <v>50</v>
      </c>
      <c r="E240" s="17">
        <v>42.11</v>
      </c>
      <c r="F240" s="18">
        <v>9540</v>
      </c>
      <c r="G240" s="21">
        <v>9180</v>
      </c>
      <c r="H240" s="6">
        <v>5040</v>
      </c>
      <c r="I240" s="22">
        <v>7260</v>
      </c>
      <c r="J240" s="22">
        <v>7020</v>
      </c>
      <c r="K240" s="22">
        <v>8640</v>
      </c>
      <c r="L240" s="22">
        <v>5940</v>
      </c>
      <c r="M240" s="22">
        <v>4020</v>
      </c>
      <c r="N240" s="22">
        <v>5940</v>
      </c>
      <c r="O240" s="22">
        <v>7020</v>
      </c>
      <c r="P240" s="22">
        <v>9720</v>
      </c>
      <c r="Q240" s="53">
        <f>'[3]Forecast (pcs.)'!Q240</f>
        <v>2340</v>
      </c>
      <c r="R240" s="53">
        <f>'[3]Forecast (pcs.)'!R240</f>
        <v>1320</v>
      </c>
      <c r="S240" s="53">
        <f>'[3]Forecast (pcs.)'!S240</f>
        <v>0</v>
      </c>
      <c r="T240" s="53">
        <f>'[3]Forecast (pcs.)'!T240</f>
        <v>0</v>
      </c>
      <c r="U240" s="53">
        <f>'[3]Forecast (pcs.)'!U240</f>
        <v>0</v>
      </c>
      <c r="V240" s="53">
        <f>'[3]Forecast (pcs.)'!V240</f>
        <v>0</v>
      </c>
      <c r="W240" s="53">
        <f>'[3]Forecast (pcs.)'!W240</f>
        <v>0</v>
      </c>
      <c r="X240" s="53">
        <f>'[3]Forecast (pcs.)'!X240</f>
        <v>5367.4104418123288</v>
      </c>
      <c r="Y240" s="53">
        <f>'[3]Forecast (pcs.)'!Y240</f>
        <v>5587.939073156952</v>
      </c>
      <c r="Z240" s="53">
        <f>'[3]Forecast (pcs.)'!Z240</f>
        <v>5639.6602275882751</v>
      </c>
      <c r="AA240" s="53">
        <f>'[3]Forecast (pcs.)'!AA240</f>
        <v>5492.0625991490397</v>
      </c>
      <c r="AB240" s="53">
        <f>'[3]Forecast (pcs.)'!AB240</f>
        <v>4596.9253320159196</v>
      </c>
      <c r="AD240" s="6">
        <f t="shared" ref="AD240:AD255" si="14">AVERAGE(Q240:Y240)</f>
        <v>1623.9277238854754</v>
      </c>
    </row>
    <row r="241" spans="1:30" ht="15" customHeight="1" x14ac:dyDescent="0.25">
      <c r="A241" s="2">
        <v>5705</v>
      </c>
      <c r="B241" s="15" t="s">
        <v>49</v>
      </c>
      <c r="C241" s="15">
        <v>5705</v>
      </c>
      <c r="D241" s="16" t="s">
        <v>48</v>
      </c>
      <c r="E241" s="17">
        <v>41.08</v>
      </c>
      <c r="F241" s="18">
        <v>2280</v>
      </c>
      <c r="G241" s="21">
        <v>480</v>
      </c>
      <c r="H241" s="6">
        <v>920</v>
      </c>
      <c r="I241" s="22">
        <v>560</v>
      </c>
      <c r="J241" s="22">
        <v>1280</v>
      </c>
      <c r="K241" s="22">
        <v>400</v>
      </c>
      <c r="L241" s="22">
        <v>1120</v>
      </c>
      <c r="M241" s="22">
        <v>490</v>
      </c>
      <c r="N241" s="22">
        <v>2220</v>
      </c>
      <c r="O241" s="22">
        <v>440</v>
      </c>
      <c r="P241" s="22">
        <v>0</v>
      </c>
      <c r="Q241" s="53">
        <f>'[3]Forecast (pcs.)'!Q241</f>
        <v>0</v>
      </c>
      <c r="R241" s="53">
        <f>'[3]Forecast (pcs.)'!R241</f>
        <v>1800</v>
      </c>
      <c r="S241" s="53">
        <f>'[3]Forecast (pcs.)'!S241</f>
        <v>1960</v>
      </c>
      <c r="T241" s="53">
        <f>'[3]Forecast (pcs.)'!T241</f>
        <v>480</v>
      </c>
      <c r="U241" s="53">
        <f>'[3]Forecast (pcs.)'!U241</f>
        <v>400</v>
      </c>
      <c r="V241" s="53">
        <f>'[3]Forecast (pcs.)'!V241</f>
        <v>400</v>
      </c>
      <c r="W241" s="53">
        <f>'[3]Forecast (pcs.)'!W241</f>
        <v>0</v>
      </c>
      <c r="X241" s="53">
        <f>'[3]Forecast (pcs.)'!X241</f>
        <v>516.67595841744844</v>
      </c>
      <c r="Y241" s="53">
        <f>'[3]Forecast (pcs.)'!Y241</f>
        <v>537.90441545342617</v>
      </c>
      <c r="Z241" s="53">
        <f>'[3]Forecast (pcs.)'!Z241</f>
        <v>542.88318078653492</v>
      </c>
      <c r="AA241" s="53">
        <f>'[3]Forecast (pcs.)'!AA241</f>
        <v>528.67518477789827</v>
      </c>
      <c r="AB241" s="53">
        <f>'[3]Forecast (pcs.)'!AB241</f>
        <v>442.50776560527078</v>
      </c>
      <c r="AD241" s="6">
        <f t="shared" si="14"/>
        <v>677.17559709676379</v>
      </c>
    </row>
    <row r="242" spans="1:30" ht="15" customHeight="1" x14ac:dyDescent="0.25">
      <c r="A242" s="2">
        <v>5707</v>
      </c>
      <c r="B242" s="15" t="s">
        <v>49</v>
      </c>
      <c r="C242" s="15">
        <v>5707</v>
      </c>
      <c r="D242" s="16" t="s">
        <v>426</v>
      </c>
      <c r="E242" s="17">
        <v>93.82</v>
      </c>
      <c r="F242" s="18">
        <v>0</v>
      </c>
      <c r="G242" s="21"/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53">
        <f>'[3]Forecast (pcs.)'!Q242</f>
        <v>0</v>
      </c>
      <c r="R242" s="53">
        <f>'[3]Forecast (pcs.)'!R242</f>
        <v>0</v>
      </c>
      <c r="S242" s="53">
        <f>'[3]Forecast (pcs.)'!S242</f>
        <v>0</v>
      </c>
      <c r="T242" s="53">
        <f>'[3]Forecast (pcs.)'!T242</f>
        <v>0</v>
      </c>
      <c r="U242" s="53">
        <f>'[3]Forecast (pcs.)'!U242</f>
        <v>0</v>
      </c>
      <c r="V242" s="53">
        <f>'[3]Forecast (pcs.)'!V242</f>
        <v>0</v>
      </c>
      <c r="W242" s="53">
        <f>'[3]Forecast (pcs.)'!W242</f>
        <v>0</v>
      </c>
      <c r="X242" s="53">
        <f>'[3]Forecast (pcs.)'!X242</f>
        <v>0</v>
      </c>
      <c r="Y242" s="53">
        <f>'[3]Forecast (pcs.)'!Y242</f>
        <v>0</v>
      </c>
      <c r="Z242" s="53">
        <f>'[3]Forecast (pcs.)'!Z242</f>
        <v>0</v>
      </c>
      <c r="AA242" s="53">
        <f>'[3]Forecast (pcs.)'!AA242</f>
        <v>0</v>
      </c>
      <c r="AB242" s="53">
        <f>'[3]Forecast (pcs.)'!AB242</f>
        <v>0</v>
      </c>
      <c r="AD242" s="6">
        <f t="shared" si="14"/>
        <v>0</v>
      </c>
    </row>
    <row r="243" spans="1:30" ht="15" customHeight="1" x14ac:dyDescent="0.25">
      <c r="A243" s="2">
        <v>5709</v>
      </c>
      <c r="B243" s="15" t="s">
        <v>49</v>
      </c>
      <c r="C243" s="15">
        <v>5709</v>
      </c>
      <c r="D243" s="16" t="s">
        <v>51</v>
      </c>
      <c r="E243" s="17">
        <v>75.78</v>
      </c>
      <c r="F243" s="18">
        <v>360</v>
      </c>
      <c r="G243" s="21">
        <v>0</v>
      </c>
      <c r="H243" s="6">
        <v>0</v>
      </c>
      <c r="I243" s="22">
        <v>360</v>
      </c>
      <c r="J243" s="22">
        <v>0</v>
      </c>
      <c r="K243" s="22">
        <v>0</v>
      </c>
      <c r="L243" s="22">
        <v>0</v>
      </c>
      <c r="M243" s="22">
        <v>0</v>
      </c>
      <c r="N243" s="22">
        <v>360</v>
      </c>
      <c r="O243" s="22">
        <v>0</v>
      </c>
      <c r="P243" s="22">
        <v>0</v>
      </c>
      <c r="Q243" s="53">
        <f>'[3]Forecast (pcs.)'!Q243</f>
        <v>378</v>
      </c>
      <c r="R243" s="53">
        <f>'[3]Forecast (pcs.)'!R243</f>
        <v>216</v>
      </c>
      <c r="S243" s="53">
        <f>'[3]Forecast (pcs.)'!S243</f>
        <v>144</v>
      </c>
      <c r="T243" s="53">
        <f>'[3]Forecast (pcs.)'!T243</f>
        <v>0</v>
      </c>
      <c r="U243" s="53">
        <f>'[3]Forecast (pcs.)'!U243</f>
        <v>720</v>
      </c>
      <c r="V243" s="53">
        <f>'[3]Forecast (pcs.)'!V243</f>
        <v>720</v>
      </c>
      <c r="W243" s="53">
        <f>'[3]Forecast (pcs.)'!W243</f>
        <v>720</v>
      </c>
      <c r="X243" s="53">
        <f>'[3]Forecast (pcs.)'!X243</f>
        <v>75.244071614191526</v>
      </c>
      <c r="Y243" s="53">
        <f>'[3]Forecast (pcs.)'!Y243</f>
        <v>78.335594483508672</v>
      </c>
      <c r="Z243" s="53">
        <f>'[3]Forecast (pcs.)'!Z243</f>
        <v>79.060657396097312</v>
      </c>
      <c r="AA243" s="53">
        <f>'[3]Forecast (pcs.)'!AA243</f>
        <v>76.99153176377159</v>
      </c>
      <c r="AB243" s="53">
        <f>'[3]Forecast (pcs.)'!AB243</f>
        <v>64.442878486204478</v>
      </c>
      <c r="AD243" s="6">
        <f t="shared" si="14"/>
        <v>339.06440734418891</v>
      </c>
    </row>
    <row r="244" spans="1:30" ht="15" customHeight="1" x14ac:dyDescent="0.25">
      <c r="A244" s="2">
        <v>5833</v>
      </c>
      <c r="B244" s="15" t="s">
        <v>49</v>
      </c>
      <c r="C244" s="15">
        <v>5833</v>
      </c>
      <c r="D244" s="16" t="s">
        <v>427</v>
      </c>
      <c r="E244" s="17">
        <v>61.7</v>
      </c>
      <c r="F244" s="18">
        <v>840</v>
      </c>
      <c r="G244" s="21">
        <v>0</v>
      </c>
      <c r="H244" s="6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53">
        <f>'[3]Forecast (pcs.)'!Q244</f>
        <v>315</v>
      </c>
      <c r="R244" s="53">
        <f>'[3]Forecast (pcs.)'!R244</f>
        <v>1365</v>
      </c>
      <c r="S244" s="53">
        <f>'[3]Forecast (pcs.)'!S244</f>
        <v>1680</v>
      </c>
      <c r="T244" s="53">
        <f>'[3]Forecast (pcs.)'!T244</f>
        <v>0</v>
      </c>
      <c r="U244" s="53">
        <f>'[3]Forecast (pcs.)'!U244</f>
        <v>0</v>
      </c>
      <c r="V244" s="53">
        <f>'[3]Forecast (pcs.)'!V244</f>
        <v>0</v>
      </c>
      <c r="W244" s="53">
        <f>'[3]Forecast (pcs.)'!W244</f>
        <v>0</v>
      </c>
      <c r="X244" s="53">
        <f>'[3]Forecast (pcs.)'!X244</f>
        <v>280.91120069298171</v>
      </c>
      <c r="Y244" s="53">
        <f>'[3]Forecast (pcs.)'!Y244</f>
        <v>292.4528860717657</v>
      </c>
      <c r="Z244" s="53">
        <f>'[3]Forecast (pcs.)'!Z244</f>
        <v>295.15978761209664</v>
      </c>
      <c r="AA244" s="53">
        <f>'[3]Forecast (pcs.)'!AA244</f>
        <v>287.4350519180806</v>
      </c>
      <c r="AB244" s="53">
        <f>'[3]Forecast (pcs.)'!AB244</f>
        <v>240.58674634849675</v>
      </c>
      <c r="AD244" s="6">
        <f t="shared" si="14"/>
        <v>437.04045408497194</v>
      </c>
    </row>
    <row r="245" spans="1:30" ht="15" customHeight="1" x14ac:dyDescent="0.25">
      <c r="A245" s="2">
        <v>6207</v>
      </c>
      <c r="B245" s="15" t="s">
        <v>49</v>
      </c>
      <c r="C245" s="15">
        <v>6207</v>
      </c>
      <c r="D245" s="16" t="s">
        <v>428</v>
      </c>
      <c r="E245" s="17">
        <v>72.81</v>
      </c>
      <c r="F245" s="18">
        <v>0</v>
      </c>
      <c r="G245" s="32">
        <v>0</v>
      </c>
      <c r="H245" s="18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53">
        <f>'[3]Forecast (pcs.)'!Q245</f>
        <v>0</v>
      </c>
      <c r="R245" s="53">
        <f>'[3]Forecast (pcs.)'!R245</f>
        <v>0</v>
      </c>
      <c r="S245" s="53">
        <f>'[3]Forecast (pcs.)'!S245</f>
        <v>0</v>
      </c>
      <c r="T245" s="53">
        <f>'[3]Forecast (pcs.)'!T245</f>
        <v>0</v>
      </c>
      <c r="U245" s="53">
        <f>'[3]Forecast (pcs.)'!U245</f>
        <v>0</v>
      </c>
      <c r="V245" s="53">
        <f>'[3]Forecast (pcs.)'!V245</f>
        <v>0</v>
      </c>
      <c r="W245" s="53">
        <f>'[3]Forecast (pcs.)'!W245</f>
        <v>0</v>
      </c>
      <c r="X245" s="53">
        <f>'[3]Forecast (pcs.)'!X245</f>
        <v>0</v>
      </c>
      <c r="Y245" s="53">
        <f>'[3]Forecast (pcs.)'!Y245</f>
        <v>0</v>
      </c>
      <c r="Z245" s="53">
        <f>'[3]Forecast (pcs.)'!Z245</f>
        <v>0</v>
      </c>
      <c r="AA245" s="53">
        <f>'[3]Forecast (pcs.)'!AA245</f>
        <v>0</v>
      </c>
      <c r="AB245" s="53">
        <f>'[3]Forecast (pcs.)'!AB245</f>
        <v>0</v>
      </c>
      <c r="AD245" s="6">
        <f t="shared" si="14"/>
        <v>0</v>
      </c>
    </row>
    <row r="246" spans="1:30" ht="15" customHeight="1" x14ac:dyDescent="0.25">
      <c r="A246" s="2">
        <v>6301</v>
      </c>
      <c r="B246" s="15" t="s">
        <v>49</v>
      </c>
      <c r="C246" s="15">
        <v>6301</v>
      </c>
      <c r="D246" s="16" t="s">
        <v>429</v>
      </c>
      <c r="E246" s="17">
        <v>80.959999999999994</v>
      </c>
      <c r="F246" s="18">
        <v>0</v>
      </c>
      <c r="G246" s="32">
        <v>0</v>
      </c>
      <c r="H246" s="18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53">
        <f>'[3]Forecast (pcs.)'!Q246</f>
        <v>0</v>
      </c>
      <c r="R246" s="53">
        <f>'[3]Forecast (pcs.)'!R246</f>
        <v>0</v>
      </c>
      <c r="S246" s="53">
        <f>'[3]Forecast (pcs.)'!S246</f>
        <v>0</v>
      </c>
      <c r="T246" s="53">
        <f>'[3]Forecast (pcs.)'!T246</f>
        <v>0</v>
      </c>
      <c r="U246" s="53">
        <f>'[3]Forecast (pcs.)'!U246</f>
        <v>0</v>
      </c>
      <c r="V246" s="53">
        <f>'[3]Forecast (pcs.)'!V246</f>
        <v>0</v>
      </c>
      <c r="W246" s="53">
        <f>'[3]Forecast (pcs.)'!W246</f>
        <v>0</v>
      </c>
      <c r="X246" s="53">
        <f>'[3]Forecast (pcs.)'!X246</f>
        <v>0</v>
      </c>
      <c r="Y246" s="53">
        <f>'[3]Forecast (pcs.)'!Y246</f>
        <v>0</v>
      </c>
      <c r="Z246" s="53">
        <f>'[3]Forecast (pcs.)'!Z246</f>
        <v>0</v>
      </c>
      <c r="AA246" s="53">
        <f>'[3]Forecast (pcs.)'!AA246</f>
        <v>0</v>
      </c>
      <c r="AB246" s="53">
        <f>'[3]Forecast (pcs.)'!AB246</f>
        <v>0</v>
      </c>
      <c r="AD246" s="6">
        <f t="shared" si="14"/>
        <v>0</v>
      </c>
    </row>
    <row r="247" spans="1:30" ht="15" customHeight="1" x14ac:dyDescent="0.25">
      <c r="A247" s="2">
        <v>5422</v>
      </c>
      <c r="B247" s="15" t="s">
        <v>40</v>
      </c>
      <c r="C247" s="15">
        <v>5422</v>
      </c>
      <c r="D247" s="16" t="s">
        <v>430</v>
      </c>
      <c r="E247" s="17">
        <v>61.18</v>
      </c>
      <c r="F247" s="18">
        <v>0</v>
      </c>
      <c r="G247" s="21">
        <v>0</v>
      </c>
      <c r="H247" s="6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69</v>
      </c>
      <c r="N247" s="22">
        <v>0</v>
      </c>
      <c r="O247" s="22">
        <v>0</v>
      </c>
      <c r="P247" s="22">
        <v>0</v>
      </c>
      <c r="Q247" s="53">
        <f>'[3]Forecast (pcs.)'!Q247</f>
        <v>0</v>
      </c>
      <c r="R247" s="53">
        <f>'[3]Forecast (pcs.)'!R247</f>
        <v>0</v>
      </c>
      <c r="S247" s="53">
        <f>'[3]Forecast (pcs.)'!S247</f>
        <v>0</v>
      </c>
      <c r="T247" s="53">
        <f>'[3]Forecast (pcs.)'!T247</f>
        <v>0</v>
      </c>
      <c r="U247" s="53">
        <f>'[3]Forecast (pcs.)'!U247</f>
        <v>0</v>
      </c>
      <c r="V247" s="53">
        <f>'[3]Forecast (pcs.)'!V247</f>
        <v>0</v>
      </c>
      <c r="W247" s="53">
        <f>'[3]Forecast (pcs.)'!W247</f>
        <v>0</v>
      </c>
      <c r="X247" s="53">
        <f>'[3]Forecast (pcs.)'!X247</f>
        <v>0</v>
      </c>
      <c r="Y247" s="53">
        <f>'[3]Forecast (pcs.)'!Y247</f>
        <v>0</v>
      </c>
      <c r="Z247" s="53">
        <f>'[3]Forecast (pcs.)'!Z247</f>
        <v>0</v>
      </c>
      <c r="AA247" s="53">
        <f>'[3]Forecast (pcs.)'!AA247</f>
        <v>0</v>
      </c>
      <c r="AB247" s="53">
        <f>'[3]Forecast (pcs.)'!AB247</f>
        <v>0</v>
      </c>
      <c r="AD247" s="6">
        <f t="shared" si="14"/>
        <v>0</v>
      </c>
    </row>
    <row r="248" spans="1:30" ht="15" customHeight="1" x14ac:dyDescent="0.25">
      <c r="A248" s="2">
        <v>5423</v>
      </c>
      <c r="B248" s="15" t="s">
        <v>40</v>
      </c>
      <c r="C248" s="15">
        <v>5423</v>
      </c>
      <c r="D248" s="16" t="s">
        <v>431</v>
      </c>
      <c r="E248" s="17">
        <v>46.52</v>
      </c>
      <c r="F248" s="18">
        <v>0</v>
      </c>
      <c r="G248" s="21">
        <v>0</v>
      </c>
      <c r="H248" s="6">
        <v>0</v>
      </c>
      <c r="I248" s="22">
        <v>0</v>
      </c>
      <c r="J248" s="22">
        <v>0</v>
      </c>
      <c r="K248" s="22">
        <v>0</v>
      </c>
      <c r="L248" s="22">
        <v>741</v>
      </c>
      <c r="M248" s="22">
        <v>0</v>
      </c>
      <c r="N248" s="22">
        <v>300</v>
      </c>
      <c r="O248" s="22">
        <v>0</v>
      </c>
      <c r="P248" s="22">
        <v>0</v>
      </c>
      <c r="Q248" s="53">
        <f>'[3]Forecast (pcs.)'!Q248</f>
        <v>0</v>
      </c>
      <c r="R248" s="53">
        <f>'[3]Forecast (pcs.)'!R248</f>
        <v>0</v>
      </c>
      <c r="S248" s="53">
        <f>'[3]Forecast (pcs.)'!S248</f>
        <v>0</v>
      </c>
      <c r="T248" s="53">
        <f>'[3]Forecast (pcs.)'!T248</f>
        <v>0</v>
      </c>
      <c r="U248" s="53">
        <f>'[3]Forecast (pcs.)'!U248</f>
        <v>0</v>
      </c>
      <c r="V248" s="53">
        <f>'[3]Forecast (pcs.)'!V248</f>
        <v>0</v>
      </c>
      <c r="W248" s="53">
        <f>'[3]Forecast (pcs.)'!W248</f>
        <v>0</v>
      </c>
      <c r="X248" s="53">
        <f>'[3]Forecast (pcs.)'!X248</f>
        <v>0</v>
      </c>
      <c r="Y248" s="53">
        <f>'[3]Forecast (pcs.)'!Y248</f>
        <v>0</v>
      </c>
      <c r="Z248" s="53">
        <f>'[3]Forecast (pcs.)'!Z248</f>
        <v>0</v>
      </c>
      <c r="AA248" s="53">
        <f>'[3]Forecast (pcs.)'!AA248</f>
        <v>0</v>
      </c>
      <c r="AB248" s="53">
        <f>'[3]Forecast (pcs.)'!AB248</f>
        <v>0</v>
      </c>
      <c r="AD248" s="6">
        <f t="shared" si="14"/>
        <v>0</v>
      </c>
    </row>
    <row r="249" spans="1:30" ht="15" customHeight="1" x14ac:dyDescent="0.25">
      <c r="A249" s="2">
        <v>5425</v>
      </c>
      <c r="B249" s="15" t="s">
        <v>40</v>
      </c>
      <c r="C249" s="15">
        <v>5425</v>
      </c>
      <c r="D249" s="16" t="s">
        <v>432</v>
      </c>
      <c r="E249" s="17">
        <v>42.5</v>
      </c>
      <c r="F249" s="18">
        <v>0</v>
      </c>
      <c r="G249" s="21">
        <v>0</v>
      </c>
      <c r="H249" s="6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70</v>
      </c>
      <c r="N249" s="22">
        <v>0</v>
      </c>
      <c r="O249" s="22">
        <v>0</v>
      </c>
      <c r="P249" s="22">
        <v>100</v>
      </c>
      <c r="Q249" s="53">
        <f>'[3]Forecast (pcs.)'!Q249</f>
        <v>0</v>
      </c>
      <c r="R249" s="53">
        <f>'[3]Forecast (pcs.)'!R249</f>
        <v>0</v>
      </c>
      <c r="S249" s="53">
        <f>'[3]Forecast (pcs.)'!S249</f>
        <v>0</v>
      </c>
      <c r="T249" s="53">
        <f>'[3]Forecast (pcs.)'!T249</f>
        <v>0</v>
      </c>
      <c r="U249" s="53">
        <f>'[3]Forecast (pcs.)'!U249</f>
        <v>0</v>
      </c>
      <c r="V249" s="53">
        <f>'[3]Forecast (pcs.)'!V249</f>
        <v>0</v>
      </c>
      <c r="W249" s="53">
        <f>'[3]Forecast (pcs.)'!W249</f>
        <v>0</v>
      </c>
      <c r="X249" s="53">
        <f>'[3]Forecast (pcs.)'!X249</f>
        <v>0</v>
      </c>
      <c r="Y249" s="53">
        <f>'[3]Forecast (pcs.)'!Y249</f>
        <v>0</v>
      </c>
      <c r="Z249" s="53">
        <f>'[3]Forecast (pcs.)'!Z249</f>
        <v>0</v>
      </c>
      <c r="AA249" s="53">
        <f>'[3]Forecast (pcs.)'!AA249</f>
        <v>0</v>
      </c>
      <c r="AB249" s="53">
        <f>'[3]Forecast (pcs.)'!AB249</f>
        <v>0</v>
      </c>
      <c r="AD249" s="6">
        <f t="shared" si="14"/>
        <v>0</v>
      </c>
    </row>
    <row r="250" spans="1:30" ht="15" customHeight="1" x14ac:dyDescent="0.25">
      <c r="A250" s="2">
        <v>5458</v>
      </c>
      <c r="B250" s="15" t="s">
        <v>40</v>
      </c>
      <c r="C250" s="15">
        <v>5458</v>
      </c>
      <c r="D250" s="16" t="s">
        <v>433</v>
      </c>
      <c r="E250" s="17">
        <v>883.23</v>
      </c>
      <c r="F250" s="18">
        <v>0</v>
      </c>
      <c r="G250" s="21">
        <v>0</v>
      </c>
      <c r="H250" s="6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53">
        <f>'[3]Forecast (pcs.)'!Q250</f>
        <v>0</v>
      </c>
      <c r="R250" s="53">
        <f>'[3]Forecast (pcs.)'!R250</f>
        <v>0</v>
      </c>
      <c r="S250" s="53">
        <f>'[3]Forecast (pcs.)'!S250</f>
        <v>0</v>
      </c>
      <c r="T250" s="53">
        <f>'[3]Forecast (pcs.)'!T250</f>
        <v>0</v>
      </c>
      <c r="U250" s="53">
        <f>'[3]Forecast (pcs.)'!U250</f>
        <v>0</v>
      </c>
      <c r="V250" s="53">
        <f>'[3]Forecast (pcs.)'!V250</f>
        <v>0</v>
      </c>
      <c r="W250" s="53">
        <f>'[3]Forecast (pcs.)'!W250</f>
        <v>0</v>
      </c>
      <c r="X250" s="53">
        <f>'[3]Forecast (pcs.)'!X250</f>
        <v>0</v>
      </c>
      <c r="Y250" s="53">
        <f>'[3]Forecast (pcs.)'!Y250</f>
        <v>0</v>
      </c>
      <c r="Z250" s="53">
        <f>'[3]Forecast (pcs.)'!Z250</f>
        <v>0</v>
      </c>
      <c r="AA250" s="53">
        <f>'[3]Forecast (pcs.)'!AA250</f>
        <v>0</v>
      </c>
      <c r="AB250" s="53">
        <f>'[3]Forecast (pcs.)'!AB250</f>
        <v>0</v>
      </c>
      <c r="AD250" s="6">
        <f t="shared" si="14"/>
        <v>0</v>
      </c>
    </row>
    <row r="251" spans="1:30" ht="15" customHeight="1" x14ac:dyDescent="0.25">
      <c r="A251" s="2">
        <v>5459</v>
      </c>
      <c r="B251" s="15" t="s">
        <v>40</v>
      </c>
      <c r="C251" s="15">
        <v>5459</v>
      </c>
      <c r="D251" s="16" t="s">
        <v>434</v>
      </c>
      <c r="E251" s="17">
        <v>883.23</v>
      </c>
      <c r="F251" s="18">
        <v>0</v>
      </c>
      <c r="G251" s="32">
        <v>0</v>
      </c>
      <c r="H251" s="18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53">
        <f>'[3]Forecast (pcs.)'!Q251</f>
        <v>0</v>
      </c>
      <c r="R251" s="53">
        <f>'[3]Forecast (pcs.)'!R251</f>
        <v>0</v>
      </c>
      <c r="S251" s="53">
        <f>'[3]Forecast (pcs.)'!S251</f>
        <v>0</v>
      </c>
      <c r="T251" s="53">
        <f>'[3]Forecast (pcs.)'!T251</f>
        <v>0</v>
      </c>
      <c r="U251" s="53">
        <f>'[3]Forecast (pcs.)'!U251</f>
        <v>0</v>
      </c>
      <c r="V251" s="53">
        <f>'[3]Forecast (pcs.)'!V251</f>
        <v>0</v>
      </c>
      <c r="W251" s="53">
        <f>'[3]Forecast (pcs.)'!W251</f>
        <v>0</v>
      </c>
      <c r="X251" s="53">
        <f>'[3]Forecast (pcs.)'!X251</f>
        <v>0</v>
      </c>
      <c r="Y251" s="53">
        <f>'[3]Forecast (pcs.)'!Y251</f>
        <v>0</v>
      </c>
      <c r="Z251" s="53">
        <f>'[3]Forecast (pcs.)'!Z251</f>
        <v>0</v>
      </c>
      <c r="AA251" s="53">
        <f>'[3]Forecast (pcs.)'!AA251</f>
        <v>0</v>
      </c>
      <c r="AB251" s="53">
        <f>'[3]Forecast (pcs.)'!AB251</f>
        <v>0</v>
      </c>
      <c r="AD251" s="6">
        <f t="shared" si="14"/>
        <v>0</v>
      </c>
    </row>
    <row r="252" spans="1:30" ht="15" customHeight="1" x14ac:dyDescent="0.25">
      <c r="A252" s="2">
        <v>5460</v>
      </c>
      <c r="B252" s="15" t="s">
        <v>40</v>
      </c>
      <c r="C252" s="15">
        <v>5460</v>
      </c>
      <c r="D252" s="16" t="s">
        <v>435</v>
      </c>
      <c r="E252" s="17">
        <v>893.11</v>
      </c>
      <c r="F252" s="18">
        <v>0</v>
      </c>
      <c r="G252" s="32">
        <v>0</v>
      </c>
      <c r="H252" s="18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53">
        <f>'[3]Forecast (pcs.)'!Q252</f>
        <v>0</v>
      </c>
      <c r="R252" s="53">
        <f>'[3]Forecast (pcs.)'!R252</f>
        <v>0</v>
      </c>
      <c r="S252" s="53">
        <f>'[3]Forecast (pcs.)'!S252</f>
        <v>0</v>
      </c>
      <c r="T252" s="53">
        <f>'[3]Forecast (pcs.)'!T252</f>
        <v>0</v>
      </c>
      <c r="U252" s="53">
        <f>'[3]Forecast (pcs.)'!U252</f>
        <v>0</v>
      </c>
      <c r="V252" s="53">
        <f>'[3]Forecast (pcs.)'!V252</f>
        <v>0</v>
      </c>
      <c r="W252" s="53">
        <f>'[3]Forecast (pcs.)'!W252</f>
        <v>0</v>
      </c>
      <c r="X252" s="53">
        <f>'[3]Forecast (pcs.)'!X252</f>
        <v>0</v>
      </c>
      <c r="Y252" s="53">
        <f>'[3]Forecast (pcs.)'!Y252</f>
        <v>0</v>
      </c>
      <c r="Z252" s="53">
        <f>'[3]Forecast (pcs.)'!Z252</f>
        <v>0</v>
      </c>
      <c r="AA252" s="53">
        <f>'[3]Forecast (pcs.)'!AA252</f>
        <v>0</v>
      </c>
      <c r="AB252" s="53">
        <f>'[3]Forecast (pcs.)'!AB252</f>
        <v>0</v>
      </c>
      <c r="AD252" s="6">
        <f t="shared" si="14"/>
        <v>0</v>
      </c>
    </row>
    <row r="253" spans="1:30" ht="15" customHeight="1" x14ac:dyDescent="0.25">
      <c r="A253" s="2">
        <v>5461</v>
      </c>
      <c r="B253" s="15" t="s">
        <v>40</v>
      </c>
      <c r="C253" s="15">
        <v>5461</v>
      </c>
      <c r="D253" s="16" t="s">
        <v>436</v>
      </c>
      <c r="E253" s="17">
        <v>893.11</v>
      </c>
      <c r="F253" s="18">
        <v>0</v>
      </c>
      <c r="G253" s="32">
        <v>0</v>
      </c>
      <c r="H253" s="18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53">
        <f>'[3]Forecast (pcs.)'!Q253</f>
        <v>0</v>
      </c>
      <c r="R253" s="53">
        <f>'[3]Forecast (pcs.)'!R253</f>
        <v>0</v>
      </c>
      <c r="S253" s="53">
        <f>'[3]Forecast (pcs.)'!S253</f>
        <v>0</v>
      </c>
      <c r="T253" s="53">
        <f>'[3]Forecast (pcs.)'!T253</f>
        <v>0</v>
      </c>
      <c r="U253" s="53">
        <f>'[3]Forecast (pcs.)'!U253</f>
        <v>0</v>
      </c>
      <c r="V253" s="53">
        <f>'[3]Forecast (pcs.)'!V253</f>
        <v>0</v>
      </c>
      <c r="W253" s="53">
        <f>'[3]Forecast (pcs.)'!W253</f>
        <v>0</v>
      </c>
      <c r="X253" s="53">
        <f>'[3]Forecast (pcs.)'!X253</f>
        <v>0</v>
      </c>
      <c r="Y253" s="53">
        <f>'[3]Forecast (pcs.)'!Y253</f>
        <v>0</v>
      </c>
      <c r="Z253" s="53">
        <f>'[3]Forecast (pcs.)'!Z253</f>
        <v>0</v>
      </c>
      <c r="AA253" s="53">
        <f>'[3]Forecast (pcs.)'!AA253</f>
        <v>0</v>
      </c>
      <c r="AB253" s="53">
        <f>'[3]Forecast (pcs.)'!AB253</f>
        <v>0</v>
      </c>
      <c r="AD253" s="6">
        <f t="shared" si="14"/>
        <v>0</v>
      </c>
    </row>
    <row r="254" spans="1:30" ht="15" customHeight="1" x14ac:dyDescent="0.25">
      <c r="A254" s="2">
        <v>5463</v>
      </c>
      <c r="B254" s="15" t="s">
        <v>40</v>
      </c>
      <c r="C254" s="15">
        <v>5463</v>
      </c>
      <c r="D254" s="16" t="s">
        <v>437</v>
      </c>
      <c r="E254" s="17">
        <v>904.21</v>
      </c>
      <c r="F254" s="18">
        <v>0</v>
      </c>
      <c r="G254" s="32">
        <v>0</v>
      </c>
      <c r="H254" s="18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53">
        <f>'[3]Forecast (pcs.)'!Q254</f>
        <v>0</v>
      </c>
      <c r="R254" s="53">
        <f>'[3]Forecast (pcs.)'!R254</f>
        <v>0</v>
      </c>
      <c r="S254" s="53">
        <f>'[3]Forecast (pcs.)'!S254</f>
        <v>0</v>
      </c>
      <c r="T254" s="53">
        <f>'[3]Forecast (pcs.)'!T254</f>
        <v>0</v>
      </c>
      <c r="U254" s="53">
        <f>'[3]Forecast (pcs.)'!U254</f>
        <v>0</v>
      </c>
      <c r="V254" s="53">
        <f>'[3]Forecast (pcs.)'!V254</f>
        <v>0</v>
      </c>
      <c r="W254" s="53">
        <f>'[3]Forecast (pcs.)'!W254</f>
        <v>0</v>
      </c>
      <c r="X254" s="53">
        <f>'[3]Forecast (pcs.)'!X254</f>
        <v>0</v>
      </c>
      <c r="Y254" s="53">
        <f>'[3]Forecast (pcs.)'!Y254</f>
        <v>0</v>
      </c>
      <c r="Z254" s="53">
        <f>'[3]Forecast (pcs.)'!Z254</f>
        <v>0</v>
      </c>
      <c r="AA254" s="53">
        <f>'[3]Forecast (pcs.)'!AA254</f>
        <v>0</v>
      </c>
      <c r="AB254" s="53">
        <f>'[3]Forecast (pcs.)'!AB254</f>
        <v>0</v>
      </c>
      <c r="AD254" s="6">
        <f t="shared" si="14"/>
        <v>0</v>
      </c>
    </row>
    <row r="255" spans="1:30" ht="15" customHeight="1" x14ac:dyDescent="0.25">
      <c r="A255" s="2">
        <v>5506</v>
      </c>
      <c r="B255" s="15" t="s">
        <v>40</v>
      </c>
      <c r="C255" s="15">
        <v>5506</v>
      </c>
      <c r="D255" s="16" t="s">
        <v>438</v>
      </c>
      <c r="E255" s="17">
        <v>936.22</v>
      </c>
      <c r="F255" s="18">
        <v>0</v>
      </c>
      <c r="G255" s="32">
        <v>0</v>
      </c>
      <c r="H255" s="18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53">
        <f>'[3]Forecast (pcs.)'!Q255</f>
        <v>0</v>
      </c>
      <c r="R255" s="53">
        <f>'[3]Forecast (pcs.)'!R255</f>
        <v>0</v>
      </c>
      <c r="S255" s="53">
        <f>'[3]Forecast (pcs.)'!S255</f>
        <v>0</v>
      </c>
      <c r="T255" s="53">
        <f>'[3]Forecast (pcs.)'!T255</f>
        <v>0</v>
      </c>
      <c r="U255" s="53">
        <f>'[3]Forecast (pcs.)'!U255</f>
        <v>0</v>
      </c>
      <c r="V255" s="53">
        <f>'[3]Forecast (pcs.)'!V255</f>
        <v>0</v>
      </c>
      <c r="W255" s="53">
        <f>'[3]Forecast (pcs.)'!W255</f>
        <v>0</v>
      </c>
      <c r="X255" s="53">
        <f>'[3]Forecast (pcs.)'!X255</f>
        <v>0</v>
      </c>
      <c r="Y255" s="53">
        <f>'[3]Forecast (pcs.)'!Y255</f>
        <v>0</v>
      </c>
      <c r="Z255" s="53">
        <f>'[3]Forecast (pcs.)'!Z255</f>
        <v>0</v>
      </c>
      <c r="AA255" s="53">
        <f>'[3]Forecast (pcs.)'!AA255</f>
        <v>0</v>
      </c>
      <c r="AB255" s="53">
        <f>'[3]Forecast (pcs.)'!AB255</f>
        <v>0</v>
      </c>
      <c r="AD255" s="6">
        <f t="shared" si="14"/>
        <v>0</v>
      </c>
    </row>
    <row r="256" spans="1:30" ht="15" customHeight="1" x14ac:dyDescent="0.25">
      <c r="A256" s="2">
        <v>5507</v>
      </c>
      <c r="B256" s="15" t="s">
        <v>40</v>
      </c>
      <c r="C256" s="15">
        <v>5507</v>
      </c>
      <c r="D256" s="16" t="s">
        <v>105</v>
      </c>
      <c r="E256" s="17">
        <v>124.51</v>
      </c>
      <c r="F256" s="18">
        <v>9200</v>
      </c>
      <c r="G256" s="21">
        <v>8400</v>
      </c>
      <c r="H256" s="6">
        <v>1200</v>
      </c>
      <c r="I256" s="22">
        <v>2000</v>
      </c>
      <c r="J256" s="22">
        <v>9087</v>
      </c>
      <c r="K256" s="22">
        <v>8188</v>
      </c>
      <c r="L256" s="22">
        <v>4800</v>
      </c>
      <c r="M256" s="22">
        <v>4800</v>
      </c>
      <c r="N256" s="22">
        <v>4200</v>
      </c>
      <c r="O256" s="22">
        <v>5300</v>
      </c>
      <c r="P256" s="22">
        <v>5300</v>
      </c>
      <c r="Q256" s="53">
        <f>'[3]Forecast (pcs.)'!Q256</f>
        <v>5401</v>
      </c>
      <c r="R256" s="53">
        <f>'[3]Forecast (pcs.)'!R256</f>
        <v>4700</v>
      </c>
      <c r="S256" s="53">
        <f>'[3]Forecast (pcs.)'!S256</f>
        <v>5400</v>
      </c>
      <c r="T256" s="53">
        <f>'[3]Forecast (pcs.)'!T256</f>
        <v>5100</v>
      </c>
      <c r="U256" s="53">
        <f>'[3]Forecast (pcs.)'!U256</f>
        <v>8200</v>
      </c>
      <c r="V256" s="53">
        <f>'[3]Forecast (pcs.)'!V256</f>
        <v>5400</v>
      </c>
      <c r="W256" s="53">
        <f>'[3]Forecast (pcs.)'!W256</f>
        <v>5899.8095825370283</v>
      </c>
      <c r="X256" s="53">
        <f>'[3]Forecast (pcs.)'!X256</f>
        <v>5334.135841254053</v>
      </c>
      <c r="Y256" s="53">
        <f>'[3]Forecast (pcs.)'!Y256</f>
        <v>5866.6397104193902</v>
      </c>
      <c r="Z256" s="53">
        <f>'[3]Forecast (pcs.)'!Z256</f>
        <v>6008.7856524531653</v>
      </c>
      <c r="AA256" s="53">
        <f>'[3]Forecast (pcs.)'!AA256</f>
        <v>5936.8699814905003</v>
      </c>
      <c r="AB256" s="53">
        <f>'[3]Forecast (pcs.)'!AB256</f>
        <v>5060.0470030745546</v>
      </c>
      <c r="AD256" s="6">
        <f t="shared" ref="AD256:AD269" si="15">AVERAGE(Q256:AB256)</f>
        <v>5692.2739809357236</v>
      </c>
    </row>
    <row r="257" spans="1:30" ht="15" customHeight="1" x14ac:dyDescent="0.25">
      <c r="A257" s="2">
        <v>5509</v>
      </c>
      <c r="B257" s="15" t="s">
        <v>40</v>
      </c>
      <c r="C257" s="15">
        <v>5509</v>
      </c>
      <c r="D257" s="16" t="s">
        <v>439</v>
      </c>
      <c r="E257" s="17">
        <v>917</v>
      </c>
      <c r="F257" s="18">
        <v>0</v>
      </c>
      <c r="G257" s="21">
        <v>0</v>
      </c>
      <c r="H257" s="6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53">
        <f>'[3]Forecast (pcs.)'!Q257</f>
        <v>0</v>
      </c>
      <c r="R257" s="53">
        <f>'[3]Forecast (pcs.)'!R257</f>
        <v>0</v>
      </c>
      <c r="S257" s="53">
        <f>'[3]Forecast (pcs.)'!S257</f>
        <v>0</v>
      </c>
      <c r="T257" s="53">
        <f>'[3]Forecast (pcs.)'!T257</f>
        <v>0</v>
      </c>
      <c r="U257" s="53">
        <f>'[3]Forecast (pcs.)'!U257</f>
        <v>0</v>
      </c>
      <c r="V257" s="53">
        <f>'[3]Forecast (pcs.)'!V257</f>
        <v>0</v>
      </c>
      <c r="W257" s="53">
        <f>'[3]Forecast (pcs.)'!W257</f>
        <v>0</v>
      </c>
      <c r="X257" s="53">
        <f>'[3]Forecast (pcs.)'!X257</f>
        <v>0</v>
      </c>
      <c r="Y257" s="53">
        <f>'[3]Forecast (pcs.)'!Y257</f>
        <v>0</v>
      </c>
      <c r="Z257" s="53">
        <f>'[3]Forecast (pcs.)'!Z257</f>
        <v>0</v>
      </c>
      <c r="AA257" s="53">
        <f>'[3]Forecast (pcs.)'!AA257</f>
        <v>0</v>
      </c>
      <c r="AB257" s="53">
        <f>'[3]Forecast (pcs.)'!AB257</f>
        <v>0</v>
      </c>
      <c r="AD257" s="6">
        <f t="shared" si="15"/>
        <v>0</v>
      </c>
    </row>
    <row r="258" spans="1:30" ht="15" customHeight="1" x14ac:dyDescent="0.25">
      <c r="A258" s="2">
        <v>5517</v>
      </c>
      <c r="B258" s="15" t="s">
        <v>40</v>
      </c>
      <c r="C258" s="15">
        <v>5517</v>
      </c>
      <c r="D258" s="16" t="s">
        <v>55</v>
      </c>
      <c r="E258" s="17">
        <v>59.22</v>
      </c>
      <c r="F258" s="18">
        <v>896</v>
      </c>
      <c r="G258" s="21">
        <v>448</v>
      </c>
      <c r="H258" s="6">
        <v>1120</v>
      </c>
      <c r="I258" s="22">
        <v>673</v>
      </c>
      <c r="J258" s="22">
        <v>679</v>
      </c>
      <c r="K258" s="22">
        <v>449</v>
      </c>
      <c r="L258" s="22">
        <v>293</v>
      </c>
      <c r="M258" s="22">
        <v>450</v>
      </c>
      <c r="N258" s="22">
        <v>674</v>
      </c>
      <c r="O258" s="22">
        <v>1125</v>
      </c>
      <c r="P258" s="22">
        <v>448</v>
      </c>
      <c r="Q258" s="53">
        <f>'[3]Forecast (pcs.)'!Q258</f>
        <v>897</v>
      </c>
      <c r="R258" s="53">
        <f>'[3]Forecast (pcs.)'!R258</f>
        <v>913</v>
      </c>
      <c r="S258" s="53">
        <f>'[3]Forecast (pcs.)'!S258</f>
        <v>898</v>
      </c>
      <c r="T258" s="53">
        <f>'[3]Forecast (pcs.)'!T258</f>
        <v>656</v>
      </c>
      <c r="U258" s="53">
        <f>'[3]Forecast (pcs.)'!U258</f>
        <v>1115</v>
      </c>
      <c r="V258" s="53">
        <f>'[3]Forecast (pcs.)'!V258</f>
        <v>910</v>
      </c>
      <c r="W258" s="53">
        <f>'[3]Forecast (pcs.)'!W258</f>
        <v>900.9561431460487</v>
      </c>
      <c r="X258" s="53">
        <f>'[3]Forecast (pcs.)'!X258</f>
        <v>824.67502489153912</v>
      </c>
      <c r="Y258" s="53">
        <f>'[3]Forecast (pcs.)'!Y258</f>
        <v>857.68772004499374</v>
      </c>
      <c r="Z258" s="53">
        <f>'[3]Forecast (pcs.)'!Z258</f>
        <v>946.79529490570758</v>
      </c>
      <c r="AA258" s="53">
        <f>'[3]Forecast (pcs.)'!AA258</f>
        <v>922.69323154590256</v>
      </c>
      <c r="AB258" s="53">
        <f>'[3]Forecast (pcs.)'!AB258</f>
        <v>759.65711505773152</v>
      </c>
      <c r="AD258" s="6">
        <f t="shared" si="15"/>
        <v>883.45537746599359</v>
      </c>
    </row>
    <row r="259" spans="1:30" ht="15" customHeight="1" x14ac:dyDescent="0.25">
      <c r="A259" s="2">
        <v>5706</v>
      </c>
      <c r="B259" s="15" t="s">
        <v>40</v>
      </c>
      <c r="C259" s="15">
        <v>5706</v>
      </c>
      <c r="D259" s="16" t="s">
        <v>109</v>
      </c>
      <c r="E259" s="17">
        <v>145.01</v>
      </c>
      <c r="F259" s="18">
        <v>0</v>
      </c>
      <c r="G259" s="21">
        <v>600</v>
      </c>
      <c r="H259" s="6">
        <v>0</v>
      </c>
      <c r="I259" s="22">
        <v>370</v>
      </c>
      <c r="J259" s="22">
        <v>600</v>
      </c>
      <c r="K259" s="22">
        <v>700</v>
      </c>
      <c r="L259" s="22">
        <v>0</v>
      </c>
      <c r="M259" s="22">
        <v>600</v>
      </c>
      <c r="N259" s="22">
        <v>600</v>
      </c>
      <c r="O259" s="22">
        <v>600</v>
      </c>
      <c r="P259" s="22">
        <v>600</v>
      </c>
      <c r="Q259" s="53">
        <f>'[3]Forecast (pcs.)'!Q259</f>
        <v>0</v>
      </c>
      <c r="R259" s="53">
        <f>'[3]Forecast (pcs.)'!R259</f>
        <v>600</v>
      </c>
      <c r="S259" s="53">
        <f>'[3]Forecast (pcs.)'!S259</f>
        <v>300</v>
      </c>
      <c r="T259" s="53">
        <f>'[3]Forecast (pcs.)'!T259</f>
        <v>300</v>
      </c>
      <c r="U259" s="53">
        <f>'[3]Forecast (pcs.)'!U259</f>
        <v>300</v>
      </c>
      <c r="V259" s="53">
        <f>'[3]Forecast (pcs.)'!V259</f>
        <v>300</v>
      </c>
      <c r="W259" s="53">
        <f>'[3]Forecast (pcs.)'!W259</f>
        <v>156.62749253070191</v>
      </c>
      <c r="X259" s="53">
        <f>'[3]Forecast (pcs.)'!X259</f>
        <v>200.65085763784407</v>
      </c>
      <c r="Y259" s="53">
        <f>'[3]Forecast (pcs.)'!Y259</f>
        <v>261.11864827836223</v>
      </c>
      <c r="Z259" s="53">
        <f>'[3]Forecast (pcs.)'!Z259</f>
        <v>316.24262958438925</v>
      </c>
      <c r="AA259" s="53">
        <f>'[3]Forecast (pcs.)'!AA259</f>
        <v>334.76388386899174</v>
      </c>
      <c r="AB259" s="53">
        <f>'[3]Forecast (pcs.)'!AB259</f>
        <v>223.01222108690797</v>
      </c>
      <c r="AD259" s="6">
        <f t="shared" si="15"/>
        <v>274.36797774893313</v>
      </c>
    </row>
    <row r="260" spans="1:30" ht="15" customHeight="1" x14ac:dyDescent="0.25">
      <c r="A260" s="2">
        <v>5805</v>
      </c>
      <c r="B260" s="15" t="s">
        <v>40</v>
      </c>
      <c r="C260" s="15">
        <v>5805</v>
      </c>
      <c r="D260" s="16" t="s">
        <v>108</v>
      </c>
      <c r="E260" s="17">
        <v>393.06</v>
      </c>
      <c r="F260" s="18">
        <v>360</v>
      </c>
      <c r="G260" s="21">
        <v>600</v>
      </c>
      <c r="H260" s="6">
        <v>600</v>
      </c>
      <c r="I260" s="22">
        <v>864</v>
      </c>
      <c r="J260" s="22">
        <v>456</v>
      </c>
      <c r="K260" s="22">
        <v>572</v>
      </c>
      <c r="L260" s="22">
        <v>989</v>
      </c>
      <c r="M260" s="22">
        <v>982</v>
      </c>
      <c r="N260" s="22">
        <v>1452</v>
      </c>
      <c r="O260" s="22">
        <v>1560</v>
      </c>
      <c r="P260" s="22">
        <v>600</v>
      </c>
      <c r="Q260" s="53">
        <f>'[3]Forecast (pcs.)'!Q260</f>
        <v>600</v>
      </c>
      <c r="R260" s="53">
        <f>'[3]Forecast (pcs.)'!R260</f>
        <v>964</v>
      </c>
      <c r="S260" s="53">
        <f>'[3]Forecast (pcs.)'!S260</f>
        <v>840</v>
      </c>
      <c r="T260" s="53">
        <f>'[3]Forecast (pcs.)'!T260</f>
        <v>580</v>
      </c>
      <c r="U260" s="53">
        <f>'[3]Forecast (pcs.)'!U260</f>
        <v>680</v>
      </c>
      <c r="V260" s="53">
        <f>'[3]Forecast (pcs.)'!V260</f>
        <v>680</v>
      </c>
      <c r="W260" s="53">
        <f>'[3]Forecast (pcs.)'!W260</f>
        <v>794.27541767791502</v>
      </c>
      <c r="X260" s="53">
        <f>'[3]Forecast (pcs.)'!X260</f>
        <v>739.73282849151849</v>
      </c>
      <c r="Y260" s="53">
        <f>'[3]Forecast (pcs.)'!Y260</f>
        <v>742.27327750595771</v>
      </c>
      <c r="Z260" s="53">
        <f>'[3]Forecast (pcs.)'!Z260</f>
        <v>763.19887939699277</v>
      </c>
      <c r="AA260" s="53">
        <f>'[3]Forecast (pcs.)'!AA260</f>
        <v>776.46394660642886</v>
      </c>
      <c r="AB260" s="53">
        <f>'[3]Forecast (pcs.)'!AB260</f>
        <v>617.7935759919576</v>
      </c>
      <c r="AD260" s="6">
        <f t="shared" si="15"/>
        <v>731.47816047256435</v>
      </c>
    </row>
    <row r="261" spans="1:30" ht="15" customHeight="1" x14ac:dyDescent="0.25">
      <c r="A261" s="2">
        <v>5806</v>
      </c>
      <c r="B261" s="15" t="s">
        <v>40</v>
      </c>
      <c r="C261" s="15">
        <v>5806</v>
      </c>
      <c r="D261" s="16" t="s">
        <v>106</v>
      </c>
      <c r="E261" s="17">
        <v>247.05</v>
      </c>
      <c r="F261" s="18">
        <v>600</v>
      </c>
      <c r="G261" s="21">
        <v>1200</v>
      </c>
      <c r="H261" s="6">
        <v>1200</v>
      </c>
      <c r="I261" s="22">
        <v>1600</v>
      </c>
      <c r="J261" s="22">
        <v>710</v>
      </c>
      <c r="K261" s="22">
        <v>1100</v>
      </c>
      <c r="L261" s="22">
        <v>1620</v>
      </c>
      <c r="M261" s="22">
        <v>1920</v>
      </c>
      <c r="N261" s="22">
        <v>2360</v>
      </c>
      <c r="O261" s="22">
        <v>2540</v>
      </c>
      <c r="P261" s="22">
        <v>1560</v>
      </c>
      <c r="Q261" s="53">
        <f>'[3]Forecast (pcs.)'!Q261</f>
        <v>1202</v>
      </c>
      <c r="R261" s="53">
        <f>'[3]Forecast (pcs.)'!R261</f>
        <v>1270</v>
      </c>
      <c r="S261" s="53">
        <f>'[3]Forecast (pcs.)'!S261</f>
        <v>1330</v>
      </c>
      <c r="T261" s="53">
        <f>'[3]Forecast (pcs.)'!T261</f>
        <v>1010</v>
      </c>
      <c r="U261" s="53">
        <f>'[3]Forecast (pcs.)'!U261</f>
        <v>1280</v>
      </c>
      <c r="V261" s="53">
        <f>'[3]Forecast (pcs.)'!V261</f>
        <v>1300</v>
      </c>
      <c r="W261" s="53">
        <f>'[3]Forecast (pcs.)'!W261</f>
        <v>1413.4761048159567</v>
      </c>
      <c r="X261" s="53">
        <f>'[3]Forecast (pcs.)'!X261</f>
        <v>1259.4185497735346</v>
      </c>
      <c r="Y261" s="53">
        <f>'[3]Forecast (pcs.)'!Y261</f>
        <v>1234.5689690600966</v>
      </c>
      <c r="Z261" s="53">
        <f>'[3]Forecast (pcs.)'!Z261</f>
        <v>1298.7030654932253</v>
      </c>
      <c r="AA261" s="53">
        <f>'[3]Forecast (pcs.)'!AA261</f>
        <v>1300.8961600867021</v>
      </c>
      <c r="AB261" s="53">
        <f>'[3]Forecast (pcs.)'!AB261</f>
        <v>1087.3510835205825</v>
      </c>
      <c r="AD261" s="6">
        <f t="shared" si="15"/>
        <v>1248.8678277291747</v>
      </c>
    </row>
    <row r="262" spans="1:30" ht="15" customHeight="1" x14ac:dyDescent="0.25">
      <c r="A262" s="2">
        <v>5807</v>
      </c>
      <c r="B262" s="15" t="s">
        <v>40</v>
      </c>
      <c r="C262" s="15">
        <v>5807</v>
      </c>
      <c r="D262" s="16" t="s">
        <v>165</v>
      </c>
      <c r="E262" s="17">
        <v>460.41</v>
      </c>
      <c r="F262" s="18">
        <v>776</v>
      </c>
      <c r="G262" s="21">
        <v>1008</v>
      </c>
      <c r="H262" s="6">
        <v>1040</v>
      </c>
      <c r="I262" s="22">
        <v>1668</v>
      </c>
      <c r="J262" s="22">
        <v>804</v>
      </c>
      <c r="K262" s="22">
        <v>1236</v>
      </c>
      <c r="L262" s="22">
        <v>1644</v>
      </c>
      <c r="M262" s="22">
        <v>1872</v>
      </c>
      <c r="N262" s="22">
        <v>2268</v>
      </c>
      <c r="O262" s="22">
        <v>2556</v>
      </c>
      <c r="P262" s="22">
        <v>1440</v>
      </c>
      <c r="Q262" s="53">
        <f>'[3]Forecast (pcs.)'!Q262</f>
        <v>1056</v>
      </c>
      <c r="R262" s="53">
        <f>'[3]Forecast (pcs.)'!R262</f>
        <v>1332</v>
      </c>
      <c r="S262" s="53">
        <f>'[3]Forecast (pcs.)'!S262</f>
        <v>1332</v>
      </c>
      <c r="T262" s="53">
        <f>'[3]Forecast (pcs.)'!T262</f>
        <v>1040</v>
      </c>
      <c r="U262" s="53">
        <f>'[3]Forecast (pcs.)'!U262</f>
        <v>1240</v>
      </c>
      <c r="V262" s="53">
        <f>'[3]Forecast (pcs.)'!V262</f>
        <v>1260</v>
      </c>
      <c r="W262" s="53">
        <f>'[3]Forecast (pcs.)'!W262</f>
        <v>1398.5094777519116</v>
      </c>
      <c r="X262" s="53">
        <f>'[3]Forecast (pcs.)'!X262</f>
        <v>1286.8408336507068</v>
      </c>
      <c r="Y262" s="53">
        <f>'[3]Forecast (pcs.)'!Y262</f>
        <v>1228.302121501416</v>
      </c>
      <c r="Z262" s="53">
        <f>'[3]Forecast (pcs.)'!Z262</f>
        <v>1275.5119393237032</v>
      </c>
      <c r="AA262" s="53">
        <f>'[3]Forecast (pcs.)'!AA262</f>
        <v>1300.7307776460241</v>
      </c>
      <c r="AB262" s="53">
        <f>'[3]Forecast (pcs.)'!AB262</f>
        <v>1082.2609062119968</v>
      </c>
      <c r="AD262" s="6">
        <f t="shared" si="15"/>
        <v>1236.0130046738134</v>
      </c>
    </row>
    <row r="263" spans="1:30" ht="15" customHeight="1" x14ac:dyDescent="0.25">
      <c r="A263" s="2">
        <v>5828</v>
      </c>
      <c r="B263" s="15" t="s">
        <v>40</v>
      </c>
      <c r="C263" s="15">
        <v>5828</v>
      </c>
      <c r="D263" s="16" t="s">
        <v>440</v>
      </c>
      <c r="E263" s="17">
        <v>185.64</v>
      </c>
      <c r="F263" s="18">
        <v>774</v>
      </c>
      <c r="G263" s="21">
        <v>1008</v>
      </c>
      <c r="H263" s="6">
        <v>1044</v>
      </c>
      <c r="I263" s="22">
        <v>1668</v>
      </c>
      <c r="J263" s="22">
        <v>804</v>
      </c>
      <c r="K263" s="22">
        <v>1236</v>
      </c>
      <c r="L263" s="22">
        <v>1644</v>
      </c>
      <c r="M263" s="22">
        <v>1872</v>
      </c>
      <c r="N263" s="22">
        <v>2268</v>
      </c>
      <c r="O263" s="22">
        <v>2580</v>
      </c>
      <c r="P263" s="22">
        <v>1440</v>
      </c>
      <c r="Q263" s="53">
        <f>'[3]Forecast (pcs.)'!Q263</f>
        <v>0</v>
      </c>
      <c r="R263" s="53">
        <f>'[3]Forecast (pcs.)'!R263</f>
        <v>0</v>
      </c>
      <c r="S263" s="53">
        <f>'[3]Forecast (pcs.)'!S263</f>
        <v>0</v>
      </c>
      <c r="T263" s="53">
        <f>'[3]Forecast (pcs.)'!T263</f>
        <v>0</v>
      </c>
      <c r="U263" s="53">
        <f>'[3]Forecast (pcs.)'!U263</f>
        <v>0</v>
      </c>
      <c r="V263" s="53">
        <f>'[3]Forecast (pcs.)'!V263</f>
        <v>0</v>
      </c>
      <c r="W263" s="53">
        <f>'[3]Forecast (pcs.)'!W263</f>
        <v>0</v>
      </c>
      <c r="X263" s="53">
        <f>'[3]Forecast (pcs.)'!X263</f>
        <v>0</v>
      </c>
      <c r="Y263" s="53">
        <f>'[3]Forecast (pcs.)'!Y263</f>
        <v>0</v>
      </c>
      <c r="Z263" s="53">
        <f>'[3]Forecast (pcs.)'!Z263</f>
        <v>0</v>
      </c>
      <c r="AA263" s="53">
        <f>'[3]Forecast (pcs.)'!AA263</f>
        <v>0</v>
      </c>
      <c r="AB263" s="53">
        <f>'[3]Forecast (pcs.)'!AB263</f>
        <v>0</v>
      </c>
      <c r="AD263" s="6">
        <f t="shared" si="15"/>
        <v>0</v>
      </c>
    </row>
    <row r="264" spans="1:30" ht="15" customHeight="1" x14ac:dyDescent="0.25">
      <c r="A264" s="2">
        <v>5834</v>
      </c>
      <c r="B264" s="15" t="s">
        <v>40</v>
      </c>
      <c r="C264" s="15">
        <v>5834</v>
      </c>
      <c r="D264" s="16" t="s">
        <v>152</v>
      </c>
      <c r="E264" s="17">
        <v>930.11</v>
      </c>
      <c r="F264" s="18">
        <v>145</v>
      </c>
      <c r="G264" s="21">
        <v>192</v>
      </c>
      <c r="H264" s="6">
        <v>0</v>
      </c>
      <c r="I264" s="22">
        <v>24</v>
      </c>
      <c r="J264" s="22">
        <v>36</v>
      </c>
      <c r="K264" s="22">
        <v>24</v>
      </c>
      <c r="L264" s="22">
        <v>0</v>
      </c>
      <c r="M264" s="22">
        <v>50</v>
      </c>
      <c r="N264" s="22">
        <v>56</v>
      </c>
      <c r="O264" s="22">
        <v>48</v>
      </c>
      <c r="P264" s="22">
        <v>24</v>
      </c>
      <c r="Q264" s="53">
        <f>'[3]Forecast (pcs.)'!Q264</f>
        <v>24</v>
      </c>
      <c r="R264" s="53">
        <f>'[3]Forecast (pcs.)'!R264</f>
        <v>24</v>
      </c>
      <c r="S264" s="53">
        <f>'[3]Forecast (pcs.)'!S264</f>
        <v>24</v>
      </c>
      <c r="T264" s="53">
        <f>'[3]Forecast (pcs.)'!T264</f>
        <v>24</v>
      </c>
      <c r="U264" s="53">
        <f>'[3]Forecast (pcs.)'!U264</f>
        <v>24</v>
      </c>
      <c r="V264" s="53">
        <f>'[3]Forecast (pcs.)'!V264</f>
        <v>24</v>
      </c>
      <c r="W264" s="53">
        <f>'[3]Forecast (pcs.)'!W264</f>
        <v>24</v>
      </c>
      <c r="X264" s="53">
        <f>'[3]Forecast (pcs.)'!X264</f>
        <v>36</v>
      </c>
      <c r="Y264" s="53">
        <f>'[3]Forecast (pcs.)'!Y264</f>
        <v>84</v>
      </c>
      <c r="Z264" s="53">
        <f>'[3]Forecast (pcs.)'!Z264</f>
        <v>60</v>
      </c>
      <c r="AA264" s="53">
        <f>'[3]Forecast (pcs.)'!AA264</f>
        <v>60</v>
      </c>
      <c r="AB264" s="53">
        <f>'[3]Forecast (pcs.)'!AB264</f>
        <v>60</v>
      </c>
      <c r="AD264" s="6">
        <f t="shared" si="15"/>
        <v>39</v>
      </c>
    </row>
    <row r="265" spans="1:30" ht="15" customHeight="1" x14ac:dyDescent="0.25">
      <c r="A265" s="2">
        <v>5835</v>
      </c>
      <c r="B265" s="15" t="s">
        <v>40</v>
      </c>
      <c r="C265" s="15">
        <v>5835</v>
      </c>
      <c r="D265" s="16" t="s">
        <v>147</v>
      </c>
      <c r="E265" s="17">
        <v>943.07</v>
      </c>
      <c r="F265" s="18">
        <v>96</v>
      </c>
      <c r="G265" s="21">
        <v>96</v>
      </c>
      <c r="H265" s="6">
        <v>48</v>
      </c>
      <c r="I265" s="22">
        <v>48</v>
      </c>
      <c r="J265" s="22">
        <v>96</v>
      </c>
      <c r="K265" s="22">
        <v>60</v>
      </c>
      <c r="L265" s="22">
        <v>24</v>
      </c>
      <c r="M265" s="22">
        <v>60</v>
      </c>
      <c r="N265" s="22">
        <v>108</v>
      </c>
      <c r="O265" s="22">
        <v>72</v>
      </c>
      <c r="P265" s="22">
        <v>36</v>
      </c>
      <c r="Q265" s="53">
        <f>'[3]Forecast (pcs.)'!Q265</f>
        <v>72</v>
      </c>
      <c r="R265" s="53">
        <f>'[3]Forecast (pcs.)'!R265</f>
        <v>120</v>
      </c>
      <c r="S265" s="53">
        <f>'[3]Forecast (pcs.)'!S265</f>
        <v>96</v>
      </c>
      <c r="T265" s="53">
        <f>'[3]Forecast (pcs.)'!T265</f>
        <v>48</v>
      </c>
      <c r="U265" s="53">
        <f>'[3]Forecast (pcs.)'!U265</f>
        <v>72</v>
      </c>
      <c r="V265" s="53">
        <f>'[3]Forecast (pcs.)'!V265</f>
        <v>24</v>
      </c>
      <c r="W265" s="53">
        <f>'[3]Forecast (pcs.)'!W265</f>
        <v>48</v>
      </c>
      <c r="X265" s="53">
        <f>'[3]Forecast (pcs.)'!X265</f>
        <v>48</v>
      </c>
      <c r="Y265" s="53">
        <f>'[3]Forecast (pcs.)'!Y265</f>
        <v>0</v>
      </c>
      <c r="Z265" s="53">
        <f>'[3]Forecast (pcs.)'!Z265</f>
        <v>72</v>
      </c>
      <c r="AA265" s="53">
        <f>'[3]Forecast (pcs.)'!AA265</f>
        <v>60</v>
      </c>
      <c r="AB265" s="53">
        <f>'[3]Forecast (pcs.)'!AB265</f>
        <v>48</v>
      </c>
      <c r="AD265" s="6">
        <f t="shared" si="15"/>
        <v>59</v>
      </c>
    </row>
    <row r="266" spans="1:30" ht="15" customHeight="1" x14ac:dyDescent="0.25">
      <c r="A266" s="2">
        <v>5836</v>
      </c>
      <c r="B266" s="15" t="s">
        <v>40</v>
      </c>
      <c r="C266" s="15">
        <v>5836</v>
      </c>
      <c r="D266" s="16" t="s">
        <v>148</v>
      </c>
      <c r="E266" s="17">
        <v>943.07</v>
      </c>
      <c r="F266" s="18">
        <v>84</v>
      </c>
      <c r="G266" s="21">
        <v>108</v>
      </c>
      <c r="H266" s="6">
        <v>72</v>
      </c>
      <c r="I266" s="22">
        <v>48</v>
      </c>
      <c r="J266" s="22">
        <v>60</v>
      </c>
      <c r="K266" s="22">
        <v>84</v>
      </c>
      <c r="L266" s="22">
        <v>108</v>
      </c>
      <c r="M266" s="22">
        <v>74</v>
      </c>
      <c r="N266" s="22">
        <v>104</v>
      </c>
      <c r="O266" s="22">
        <v>96</v>
      </c>
      <c r="P266" s="22">
        <v>374</v>
      </c>
      <c r="Q266" s="53">
        <f>'[3]Forecast (pcs.)'!Q266</f>
        <v>156</v>
      </c>
      <c r="R266" s="53">
        <f>'[3]Forecast (pcs.)'!R266</f>
        <v>180</v>
      </c>
      <c r="S266" s="53">
        <f>'[3]Forecast (pcs.)'!S266</f>
        <v>192</v>
      </c>
      <c r="T266" s="53">
        <f>'[3]Forecast (pcs.)'!T266</f>
        <v>48</v>
      </c>
      <c r="U266" s="53">
        <f>'[3]Forecast (pcs.)'!U266</f>
        <v>84</v>
      </c>
      <c r="V266" s="53">
        <f>'[3]Forecast (pcs.)'!V266</f>
        <v>84</v>
      </c>
      <c r="W266" s="53">
        <f>'[3]Forecast (pcs.)'!W266</f>
        <v>108</v>
      </c>
      <c r="X266" s="53">
        <f>'[3]Forecast (pcs.)'!X266</f>
        <v>60</v>
      </c>
      <c r="Y266" s="53">
        <f>'[3]Forecast (pcs.)'!Y266</f>
        <v>84</v>
      </c>
      <c r="Z266" s="53">
        <f>'[3]Forecast (pcs.)'!Z266</f>
        <v>168</v>
      </c>
      <c r="AA266" s="53">
        <f>'[3]Forecast (pcs.)'!AA266</f>
        <v>120</v>
      </c>
      <c r="AB266" s="53">
        <f>'[3]Forecast (pcs.)'!AB266</f>
        <v>156</v>
      </c>
      <c r="AD266" s="6">
        <f t="shared" si="15"/>
        <v>120</v>
      </c>
    </row>
    <row r="267" spans="1:30" ht="15" customHeight="1" x14ac:dyDescent="0.25">
      <c r="A267" s="2">
        <v>5837</v>
      </c>
      <c r="B267" s="15" t="s">
        <v>40</v>
      </c>
      <c r="C267" s="15">
        <v>5837</v>
      </c>
      <c r="D267" s="16" t="s">
        <v>149</v>
      </c>
      <c r="E267" s="17">
        <v>930.11</v>
      </c>
      <c r="F267" s="18">
        <v>36</v>
      </c>
      <c r="G267" s="21">
        <v>108</v>
      </c>
      <c r="H267" s="6">
        <v>72</v>
      </c>
      <c r="I267" s="22">
        <v>48</v>
      </c>
      <c r="J267" s="22">
        <v>48</v>
      </c>
      <c r="K267" s="22">
        <v>84</v>
      </c>
      <c r="L267" s="22">
        <v>108</v>
      </c>
      <c r="M267" s="22">
        <v>72</v>
      </c>
      <c r="N267" s="22">
        <v>92</v>
      </c>
      <c r="O267" s="22">
        <v>96</v>
      </c>
      <c r="P267" s="22">
        <v>362</v>
      </c>
      <c r="Q267" s="53">
        <f>'[3]Forecast (pcs.)'!Q267</f>
        <v>156</v>
      </c>
      <c r="R267" s="53">
        <f>'[3]Forecast (pcs.)'!R267</f>
        <v>180</v>
      </c>
      <c r="S267" s="53">
        <f>'[3]Forecast (pcs.)'!S267</f>
        <v>192</v>
      </c>
      <c r="T267" s="53">
        <f>'[3]Forecast (pcs.)'!T267</f>
        <v>48</v>
      </c>
      <c r="U267" s="53">
        <f>'[3]Forecast (pcs.)'!U267</f>
        <v>84</v>
      </c>
      <c r="V267" s="53">
        <f>'[3]Forecast (pcs.)'!V267</f>
        <v>84</v>
      </c>
      <c r="W267" s="53">
        <f>'[3]Forecast (pcs.)'!W267</f>
        <v>108</v>
      </c>
      <c r="X267" s="53">
        <f>'[3]Forecast (pcs.)'!X267</f>
        <v>60</v>
      </c>
      <c r="Y267" s="53">
        <f>'[3]Forecast (pcs.)'!Y267</f>
        <v>84</v>
      </c>
      <c r="Z267" s="53">
        <f>'[3]Forecast (pcs.)'!Z267</f>
        <v>156</v>
      </c>
      <c r="AA267" s="53">
        <f>'[3]Forecast (pcs.)'!AA267</f>
        <v>96</v>
      </c>
      <c r="AB267" s="53">
        <f>'[3]Forecast (pcs.)'!AB267</f>
        <v>144</v>
      </c>
      <c r="AD267" s="6">
        <f t="shared" si="15"/>
        <v>116</v>
      </c>
    </row>
    <row r="268" spans="1:30" ht="15" customHeight="1" x14ac:dyDescent="0.25">
      <c r="A268" s="2">
        <v>5838</v>
      </c>
      <c r="B268" s="15" t="s">
        <v>40</v>
      </c>
      <c r="C268" s="15">
        <v>5838</v>
      </c>
      <c r="D268" s="16" t="s">
        <v>150</v>
      </c>
      <c r="E268" s="17">
        <v>943.07</v>
      </c>
      <c r="F268" s="18">
        <v>12</v>
      </c>
      <c r="G268" s="21">
        <v>24</v>
      </c>
      <c r="H268" s="6">
        <v>112</v>
      </c>
      <c r="I268" s="22">
        <v>86</v>
      </c>
      <c r="J268" s="22">
        <v>72</v>
      </c>
      <c r="K268" s="22">
        <v>132</v>
      </c>
      <c r="L268" s="22">
        <v>240</v>
      </c>
      <c r="M268" s="22">
        <v>48</v>
      </c>
      <c r="N268" s="22">
        <v>108</v>
      </c>
      <c r="O268" s="22">
        <v>60</v>
      </c>
      <c r="P268" s="22">
        <v>108</v>
      </c>
      <c r="Q268" s="53">
        <f>'[3]Forecast (pcs.)'!Q268</f>
        <v>60</v>
      </c>
      <c r="R268" s="53">
        <f>'[3]Forecast (pcs.)'!R268</f>
        <v>96</v>
      </c>
      <c r="S268" s="53">
        <f>'[3]Forecast (pcs.)'!S268</f>
        <v>120</v>
      </c>
      <c r="T268" s="53">
        <f>'[3]Forecast (pcs.)'!T268</f>
        <v>84</v>
      </c>
      <c r="U268" s="53">
        <f>'[3]Forecast (pcs.)'!U268</f>
        <v>60</v>
      </c>
      <c r="V268" s="53">
        <f>'[3]Forecast (pcs.)'!V268</f>
        <v>84</v>
      </c>
      <c r="W268" s="53">
        <f>'[3]Forecast (pcs.)'!W268</f>
        <v>60</v>
      </c>
      <c r="X268" s="53">
        <f>'[3]Forecast (pcs.)'!X268</f>
        <v>84</v>
      </c>
      <c r="Y268" s="53">
        <f>'[3]Forecast (pcs.)'!Y268</f>
        <v>72</v>
      </c>
      <c r="Z268" s="53">
        <f>'[3]Forecast (pcs.)'!Z268</f>
        <v>120</v>
      </c>
      <c r="AA268" s="53">
        <f>'[3]Forecast (pcs.)'!AA268</f>
        <v>72</v>
      </c>
      <c r="AB268" s="53">
        <f>'[3]Forecast (pcs.)'!AB268</f>
        <v>108</v>
      </c>
      <c r="AD268" s="6">
        <f t="shared" si="15"/>
        <v>85</v>
      </c>
    </row>
    <row r="269" spans="1:30" ht="15" customHeight="1" x14ac:dyDescent="0.25">
      <c r="A269" s="2">
        <v>5839</v>
      </c>
      <c r="B269" s="15" t="s">
        <v>40</v>
      </c>
      <c r="C269" s="15">
        <v>5839</v>
      </c>
      <c r="D269" s="16" t="s">
        <v>151</v>
      </c>
      <c r="E269" s="17">
        <v>957.65</v>
      </c>
      <c r="F269" s="18">
        <v>108</v>
      </c>
      <c r="G269" s="21">
        <v>120</v>
      </c>
      <c r="H269" s="6">
        <v>160</v>
      </c>
      <c r="I269" s="22">
        <v>134</v>
      </c>
      <c r="J269" s="22">
        <v>168</v>
      </c>
      <c r="K269" s="22">
        <v>192</v>
      </c>
      <c r="L269" s="22">
        <v>264</v>
      </c>
      <c r="M269" s="22">
        <v>108</v>
      </c>
      <c r="N269" s="22">
        <v>236</v>
      </c>
      <c r="O269" s="22">
        <v>132</v>
      </c>
      <c r="P269" s="22">
        <v>132</v>
      </c>
      <c r="Q269" s="53">
        <f>'[3]Forecast (pcs.)'!Q269</f>
        <v>133</v>
      </c>
      <c r="R269" s="53">
        <f>'[3]Forecast (pcs.)'!R269</f>
        <v>217</v>
      </c>
      <c r="S269" s="53">
        <f>'[3]Forecast (pcs.)'!S269</f>
        <v>216</v>
      </c>
      <c r="T269" s="53">
        <f>'[3]Forecast (pcs.)'!T269</f>
        <v>132</v>
      </c>
      <c r="U269" s="53">
        <f>'[3]Forecast (pcs.)'!U269</f>
        <v>132</v>
      </c>
      <c r="V269" s="53">
        <f>'[3]Forecast (pcs.)'!V269</f>
        <v>108</v>
      </c>
      <c r="W269" s="53">
        <f>'[3]Forecast (pcs.)'!W269</f>
        <v>120</v>
      </c>
      <c r="X269" s="53">
        <f>'[3]Forecast (pcs.)'!X269</f>
        <v>156</v>
      </c>
      <c r="Y269" s="53">
        <f>'[3]Forecast (pcs.)'!Y269</f>
        <v>96</v>
      </c>
      <c r="Z269" s="53">
        <f>'[3]Forecast (pcs.)'!Z269</f>
        <v>228</v>
      </c>
      <c r="AA269" s="53">
        <f>'[3]Forecast (pcs.)'!AA269</f>
        <v>144</v>
      </c>
      <c r="AB269" s="53">
        <f>'[3]Forecast (pcs.)'!AB269</f>
        <v>168</v>
      </c>
      <c r="AD269" s="6">
        <f t="shared" si="15"/>
        <v>154.16666666666666</v>
      </c>
    </row>
    <row r="270" spans="1:30" ht="15" customHeight="1" x14ac:dyDescent="0.25">
      <c r="A270" s="2">
        <v>5926</v>
      </c>
      <c r="B270" s="15" t="s">
        <v>40</v>
      </c>
      <c r="C270" s="15">
        <v>5926</v>
      </c>
      <c r="D270" s="16" t="s">
        <v>39</v>
      </c>
      <c r="E270" s="17">
        <v>39.6</v>
      </c>
      <c r="F270" s="18">
        <v>3090</v>
      </c>
      <c r="G270" s="21">
        <v>6300</v>
      </c>
      <c r="H270" s="6">
        <v>4800</v>
      </c>
      <c r="I270" s="22">
        <v>7920</v>
      </c>
      <c r="J270" s="22">
        <v>6900</v>
      </c>
      <c r="K270" s="22">
        <v>7140</v>
      </c>
      <c r="L270" s="22">
        <v>6900</v>
      </c>
      <c r="M270" s="22">
        <v>8160</v>
      </c>
      <c r="N270" s="22">
        <v>9120</v>
      </c>
      <c r="O270" s="22">
        <v>10560</v>
      </c>
      <c r="P270" s="22">
        <v>4590</v>
      </c>
      <c r="Q270" s="53">
        <f>'[3]Forecast (pcs.)'!Q270</f>
        <v>7964</v>
      </c>
      <c r="R270" s="53">
        <f>'[3]Forecast (pcs.)'!R270</f>
        <v>8687</v>
      </c>
      <c r="S270" s="53">
        <f>'[3]Forecast (pcs.)'!S270</f>
        <v>7874</v>
      </c>
      <c r="T270" s="53">
        <f>'[3]Forecast (pcs.)'!T270</f>
        <v>8270</v>
      </c>
      <c r="U270" s="53">
        <f>'[3]Forecast (pcs.)'!U270</f>
        <v>10368</v>
      </c>
      <c r="V270" s="53">
        <f>'[3]Forecast (pcs.)'!V270</f>
        <v>11711</v>
      </c>
      <c r="W270" s="53">
        <f>'[3]Forecast (pcs.)'!W270</f>
        <v>8889.828414948126</v>
      </c>
      <c r="X270" s="53">
        <f>'[3]Forecast (pcs.)'!X270</f>
        <v>8253.4386108366525</v>
      </c>
      <c r="Y270" s="53">
        <f>'[3]Forecast (pcs.)'!Y270</f>
        <v>8796.3909441026153</v>
      </c>
      <c r="Z270" s="53">
        <f>'[3]Forecast (pcs.)'!Z270</f>
        <v>9640.8322532298753</v>
      </c>
      <c r="AA270" s="53">
        <f>'[3]Forecast (pcs.)'!AA270</f>
        <v>9546.9205818277387</v>
      </c>
      <c r="AB270" s="53">
        <f>'[3]Forecast (pcs.)'!AB270</f>
        <v>7928.8035959497747</v>
      </c>
      <c r="AD270" s="6">
        <f>AVERAGE(Q270:U270)</f>
        <v>8632.6</v>
      </c>
    </row>
    <row r="271" spans="1:30" ht="15" customHeight="1" x14ac:dyDescent="0.25">
      <c r="A271" s="2">
        <v>5951</v>
      </c>
      <c r="B271" s="15" t="s">
        <v>40</v>
      </c>
      <c r="C271" s="15">
        <v>5951</v>
      </c>
      <c r="D271" s="16" t="s">
        <v>441</v>
      </c>
      <c r="E271" s="17">
        <v>979.03</v>
      </c>
      <c r="F271" s="18">
        <v>0</v>
      </c>
      <c r="G271" s="32">
        <v>0</v>
      </c>
      <c r="H271" s="18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53">
        <f>'[3]Forecast (pcs.)'!Q271</f>
        <v>0</v>
      </c>
      <c r="R271" s="53">
        <f>'[3]Forecast (pcs.)'!R271</f>
        <v>0</v>
      </c>
      <c r="S271" s="53">
        <f>'[3]Forecast (pcs.)'!S271</f>
        <v>0</v>
      </c>
      <c r="T271" s="53">
        <f>'[3]Forecast (pcs.)'!T271</f>
        <v>0</v>
      </c>
      <c r="U271" s="53">
        <f>'[3]Forecast (pcs.)'!U271</f>
        <v>0</v>
      </c>
      <c r="V271" s="53">
        <f>'[3]Forecast (pcs.)'!V271</f>
        <v>0</v>
      </c>
      <c r="W271" s="53">
        <f>'[3]Forecast (pcs.)'!W271</f>
        <v>0</v>
      </c>
      <c r="X271" s="53">
        <f>'[3]Forecast (pcs.)'!X271</f>
        <v>0</v>
      </c>
      <c r="Y271" s="53">
        <f>'[3]Forecast (pcs.)'!Y271</f>
        <v>0</v>
      </c>
      <c r="Z271" s="53">
        <f>'[3]Forecast (pcs.)'!Z271</f>
        <v>0</v>
      </c>
      <c r="AA271" s="53">
        <f>'[3]Forecast (pcs.)'!AA271</f>
        <v>0</v>
      </c>
      <c r="AB271" s="53">
        <f>'[3]Forecast (pcs.)'!AB271</f>
        <v>0</v>
      </c>
      <c r="AD271" s="6">
        <f t="shared" ref="AD271:AD294" si="16">AVERAGE(Q271:AB271)</f>
        <v>0</v>
      </c>
    </row>
    <row r="272" spans="1:30" ht="15" customHeight="1" x14ac:dyDescent="0.25">
      <c r="A272" s="2">
        <v>5958</v>
      </c>
      <c r="B272" s="15" t="s">
        <v>40</v>
      </c>
      <c r="C272" s="15">
        <v>5958</v>
      </c>
      <c r="D272" s="16" t="s">
        <v>172</v>
      </c>
      <c r="E272" s="17">
        <v>943.07</v>
      </c>
      <c r="F272" s="18">
        <v>96</v>
      </c>
      <c r="G272" s="21">
        <v>192</v>
      </c>
      <c r="H272" s="6">
        <v>0</v>
      </c>
      <c r="I272" s="22">
        <v>24</v>
      </c>
      <c r="J272" s="22">
        <v>24</v>
      </c>
      <c r="K272" s="22">
        <v>24</v>
      </c>
      <c r="L272" s="22">
        <v>0</v>
      </c>
      <c r="M272" s="22">
        <v>48</v>
      </c>
      <c r="N272" s="22">
        <v>24</v>
      </c>
      <c r="O272" s="22">
        <v>24</v>
      </c>
      <c r="P272" s="22">
        <v>24</v>
      </c>
      <c r="Q272" s="53">
        <f>'[3]Forecast (pcs.)'!Q272</f>
        <v>24</v>
      </c>
      <c r="R272" s="53">
        <f>'[3]Forecast (pcs.)'!R272</f>
        <v>24</v>
      </c>
      <c r="S272" s="53">
        <f>'[3]Forecast (pcs.)'!S272</f>
        <v>24</v>
      </c>
      <c r="T272" s="53">
        <f>'[3]Forecast (pcs.)'!T272</f>
        <v>24</v>
      </c>
      <c r="U272" s="53">
        <f>'[3]Forecast (pcs.)'!U272</f>
        <v>24</v>
      </c>
      <c r="V272" s="53">
        <f>'[3]Forecast (pcs.)'!V272</f>
        <v>24</v>
      </c>
      <c r="W272" s="53">
        <f>'[3]Forecast (pcs.)'!W272</f>
        <v>24</v>
      </c>
      <c r="X272" s="53">
        <f>'[3]Forecast (pcs.)'!X272</f>
        <v>24</v>
      </c>
      <c r="Y272" s="53">
        <f>'[3]Forecast (pcs.)'!Y272</f>
        <v>24</v>
      </c>
      <c r="Z272" s="53">
        <f>'[3]Forecast (pcs.)'!Z272</f>
        <v>24</v>
      </c>
      <c r="AA272" s="53">
        <f>'[3]Forecast (pcs.)'!AA272</f>
        <v>24</v>
      </c>
      <c r="AB272" s="53">
        <f>'[3]Forecast (pcs.)'!AB272</f>
        <v>24</v>
      </c>
      <c r="AD272" s="6">
        <f t="shared" si="16"/>
        <v>24</v>
      </c>
    </row>
    <row r="273" spans="1:30" ht="15" customHeight="1" x14ac:dyDescent="0.25">
      <c r="A273" s="2">
        <v>5968</v>
      </c>
      <c r="B273" s="15" t="s">
        <v>40</v>
      </c>
      <c r="C273" s="15">
        <v>5968</v>
      </c>
      <c r="D273" s="16" t="s">
        <v>122</v>
      </c>
      <c r="E273" s="17">
        <v>173.92</v>
      </c>
      <c r="F273" s="18">
        <v>0</v>
      </c>
      <c r="G273" s="19"/>
      <c r="H273" s="19"/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53">
        <f>'[3]Forecast (pcs.)'!Q273</f>
        <v>0</v>
      </c>
      <c r="R273" s="53">
        <f>'[3]Forecast (pcs.)'!R273</f>
        <v>0</v>
      </c>
      <c r="S273" s="53">
        <f>'[3]Forecast (pcs.)'!S273</f>
        <v>0</v>
      </c>
      <c r="T273" s="53">
        <f>'[3]Forecast (pcs.)'!T273</f>
        <v>0</v>
      </c>
      <c r="U273" s="53">
        <f>'[3]Forecast (pcs.)'!U273</f>
        <v>0</v>
      </c>
      <c r="V273" s="53">
        <f>'[3]Forecast (pcs.)'!V273</f>
        <v>0</v>
      </c>
      <c r="W273" s="53">
        <f>'[3]Forecast (pcs.)'!W273</f>
        <v>0</v>
      </c>
      <c r="X273" s="53">
        <f>'[3]Forecast (pcs.)'!X273</f>
        <v>0</v>
      </c>
      <c r="Y273" s="53">
        <f>'[3]Forecast (pcs.)'!Y273</f>
        <v>0</v>
      </c>
      <c r="Z273" s="53">
        <f>'[3]Forecast (pcs.)'!Z273</f>
        <v>0</v>
      </c>
      <c r="AA273" s="53">
        <f>'[3]Forecast (pcs.)'!AA273</f>
        <v>0</v>
      </c>
      <c r="AB273" s="53">
        <f>'[3]Forecast (pcs.)'!AB273</f>
        <v>0</v>
      </c>
      <c r="AD273" s="6">
        <f t="shared" si="16"/>
        <v>0</v>
      </c>
    </row>
    <row r="274" spans="1:30" ht="15" customHeight="1" x14ac:dyDescent="0.25">
      <c r="A274" s="2">
        <v>5969</v>
      </c>
      <c r="B274" s="15" t="s">
        <v>40</v>
      </c>
      <c r="C274" s="15">
        <v>5969</v>
      </c>
      <c r="D274" s="16" t="s">
        <v>123</v>
      </c>
      <c r="E274" s="17">
        <v>179.66</v>
      </c>
      <c r="F274" s="18">
        <v>0</v>
      </c>
      <c r="G274" s="19"/>
      <c r="H274" s="19"/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53">
        <f>'[3]Forecast (pcs.)'!Q274</f>
        <v>0</v>
      </c>
      <c r="R274" s="53">
        <f>'[3]Forecast (pcs.)'!R274</f>
        <v>0</v>
      </c>
      <c r="S274" s="53">
        <f>'[3]Forecast (pcs.)'!S274</f>
        <v>0</v>
      </c>
      <c r="T274" s="53">
        <f>'[3]Forecast (pcs.)'!T274</f>
        <v>0</v>
      </c>
      <c r="U274" s="53">
        <f>'[3]Forecast (pcs.)'!U274</f>
        <v>0</v>
      </c>
      <c r="V274" s="53">
        <f>'[3]Forecast (pcs.)'!V274</f>
        <v>0</v>
      </c>
      <c r="W274" s="53">
        <f>'[3]Forecast (pcs.)'!W274</f>
        <v>0</v>
      </c>
      <c r="X274" s="53">
        <f>'[3]Forecast (pcs.)'!X274</f>
        <v>0</v>
      </c>
      <c r="Y274" s="53">
        <f>'[3]Forecast (pcs.)'!Y274</f>
        <v>0</v>
      </c>
      <c r="Z274" s="53">
        <f>'[3]Forecast (pcs.)'!Z274</f>
        <v>0</v>
      </c>
      <c r="AA274" s="53">
        <f>'[3]Forecast (pcs.)'!AA274</f>
        <v>0</v>
      </c>
      <c r="AB274" s="53">
        <f>'[3]Forecast (pcs.)'!AB274</f>
        <v>0</v>
      </c>
      <c r="AD274" s="6">
        <f t="shared" si="16"/>
        <v>0</v>
      </c>
    </row>
    <row r="275" spans="1:30" ht="15" customHeight="1" x14ac:dyDescent="0.25">
      <c r="A275" s="2">
        <v>6084</v>
      </c>
      <c r="B275" s="15" t="s">
        <v>40</v>
      </c>
      <c r="C275" s="15">
        <v>6084</v>
      </c>
      <c r="D275" s="16" t="s">
        <v>102</v>
      </c>
      <c r="E275" s="17">
        <v>78.16</v>
      </c>
      <c r="F275" s="18">
        <v>720</v>
      </c>
      <c r="G275" s="21">
        <v>1200</v>
      </c>
      <c r="H275" s="6">
        <v>1200</v>
      </c>
      <c r="I275" s="22">
        <v>1920</v>
      </c>
      <c r="J275" s="22">
        <v>720</v>
      </c>
      <c r="K275" s="22">
        <v>1152</v>
      </c>
      <c r="L275" s="22">
        <v>1920</v>
      </c>
      <c r="M275" s="22">
        <v>1920</v>
      </c>
      <c r="N275" s="22">
        <v>2904</v>
      </c>
      <c r="O275" s="22">
        <v>3120</v>
      </c>
      <c r="P275" s="22">
        <v>1200</v>
      </c>
      <c r="Q275" s="53">
        <f>'[3]Forecast (pcs.)'!Q275</f>
        <v>1200</v>
      </c>
      <c r="R275" s="53">
        <f>'[3]Forecast (pcs.)'!R275</f>
        <v>1920</v>
      </c>
      <c r="S275" s="53">
        <f>'[3]Forecast (pcs.)'!S275</f>
        <v>1680</v>
      </c>
      <c r="T275" s="53">
        <f>'[3]Forecast (pcs.)'!T275</f>
        <v>1160</v>
      </c>
      <c r="U275" s="53">
        <f>'[3]Forecast (pcs.)'!U275</f>
        <v>1360</v>
      </c>
      <c r="V275" s="53">
        <f>'[3]Forecast (pcs.)'!V275</f>
        <v>1360</v>
      </c>
      <c r="W275" s="53">
        <f>'[3]Forecast (pcs.)'!W275</f>
        <v>1587.1585909777793</v>
      </c>
      <c r="X275" s="53">
        <f>'[3]Forecast (pcs.)'!X275</f>
        <v>1478.1279845987847</v>
      </c>
      <c r="Y275" s="53">
        <f>'[3]Forecast (pcs.)'!Y275</f>
        <v>1483.1539222210974</v>
      </c>
      <c r="Z275" s="53">
        <f>'[3]Forecast (pcs.)'!Z275</f>
        <v>1524.9922359958327</v>
      </c>
      <c r="AA275" s="53">
        <f>'[3]Forecast (pcs.)'!AA275</f>
        <v>1551.3209525876002</v>
      </c>
      <c r="AB275" s="53">
        <f>'[3]Forecast (pcs.)'!AB275</f>
        <v>1235.1962104412694</v>
      </c>
      <c r="AD275" s="6">
        <f t="shared" si="16"/>
        <v>1461.6624914018637</v>
      </c>
    </row>
    <row r="276" spans="1:30" ht="15" customHeight="1" x14ac:dyDescent="0.25">
      <c r="A276" s="2">
        <v>6087</v>
      </c>
      <c r="B276" s="15" t="s">
        <v>40</v>
      </c>
      <c r="C276" s="15">
        <v>6087</v>
      </c>
      <c r="D276" s="16"/>
      <c r="E276" s="17">
        <v>931.51</v>
      </c>
      <c r="F276" s="18">
        <v>0</v>
      </c>
      <c r="G276" s="32">
        <v>0</v>
      </c>
      <c r="H276" s="18">
        <v>2</v>
      </c>
      <c r="I276" s="22">
        <v>2</v>
      </c>
      <c r="J276" s="22">
        <v>0</v>
      </c>
      <c r="K276" s="22">
        <v>0</v>
      </c>
      <c r="L276" s="22">
        <v>0</v>
      </c>
      <c r="M276" s="22">
        <v>0</v>
      </c>
      <c r="N276" s="22">
        <v>2</v>
      </c>
      <c r="O276" s="22">
        <v>2</v>
      </c>
      <c r="P276" s="22">
        <v>0</v>
      </c>
      <c r="Q276" s="53">
        <f>'[3]Forecast (pcs.)'!Q276</f>
        <v>0</v>
      </c>
      <c r="R276" s="53">
        <f>'[3]Forecast (pcs.)'!R276</f>
        <v>0</v>
      </c>
      <c r="S276" s="53">
        <f>'[3]Forecast (pcs.)'!S276</f>
        <v>0</v>
      </c>
      <c r="T276" s="53">
        <f>'[3]Forecast (pcs.)'!T276</f>
        <v>0</v>
      </c>
      <c r="U276" s="53">
        <f>'[3]Forecast (pcs.)'!U276</f>
        <v>0</v>
      </c>
      <c r="V276" s="53">
        <f>'[3]Forecast (pcs.)'!V276</f>
        <v>0</v>
      </c>
      <c r="W276" s="53">
        <f>'[3]Forecast (pcs.)'!W276</f>
        <v>0</v>
      </c>
      <c r="X276" s="53">
        <f>'[3]Forecast (pcs.)'!X276</f>
        <v>0</v>
      </c>
      <c r="Y276" s="53">
        <f>'[3]Forecast (pcs.)'!Y276</f>
        <v>0</v>
      </c>
      <c r="Z276" s="53">
        <f>'[3]Forecast (pcs.)'!Z276</f>
        <v>0</v>
      </c>
      <c r="AA276" s="53">
        <f>'[3]Forecast (pcs.)'!AA276</f>
        <v>0</v>
      </c>
      <c r="AB276" s="53">
        <f>'[3]Forecast (pcs.)'!AB276</f>
        <v>0</v>
      </c>
      <c r="AD276" s="6">
        <f t="shared" si="16"/>
        <v>0</v>
      </c>
    </row>
    <row r="277" spans="1:30" ht="15" customHeight="1" x14ac:dyDescent="0.25">
      <c r="A277" s="2">
        <v>6088</v>
      </c>
      <c r="B277" s="15" t="s">
        <v>40</v>
      </c>
      <c r="C277" s="15">
        <v>6088</v>
      </c>
      <c r="D277" s="16" t="s">
        <v>442</v>
      </c>
      <c r="E277" s="17">
        <v>931.95</v>
      </c>
      <c r="F277" s="18">
        <v>0</v>
      </c>
      <c r="G277" s="32">
        <v>0</v>
      </c>
      <c r="H277" s="18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53">
        <f>'[3]Forecast (pcs.)'!Q277</f>
        <v>0</v>
      </c>
      <c r="R277" s="53">
        <f>'[3]Forecast (pcs.)'!R277</f>
        <v>0</v>
      </c>
      <c r="S277" s="53">
        <f>'[3]Forecast (pcs.)'!S277</f>
        <v>0</v>
      </c>
      <c r="T277" s="53">
        <f>'[3]Forecast (pcs.)'!T277</f>
        <v>0</v>
      </c>
      <c r="U277" s="53">
        <f>'[3]Forecast (pcs.)'!U277</f>
        <v>0</v>
      </c>
      <c r="V277" s="53">
        <f>'[3]Forecast (pcs.)'!V277</f>
        <v>0</v>
      </c>
      <c r="W277" s="53">
        <f>'[3]Forecast (pcs.)'!W277</f>
        <v>0</v>
      </c>
      <c r="X277" s="53">
        <f>'[3]Forecast (pcs.)'!X277</f>
        <v>0</v>
      </c>
      <c r="Y277" s="53">
        <f>'[3]Forecast (pcs.)'!Y277</f>
        <v>0</v>
      </c>
      <c r="Z277" s="53">
        <f>'[3]Forecast (pcs.)'!Z277</f>
        <v>0</v>
      </c>
      <c r="AA277" s="53">
        <f>'[3]Forecast (pcs.)'!AA277</f>
        <v>0</v>
      </c>
      <c r="AB277" s="53">
        <f>'[3]Forecast (pcs.)'!AB277</f>
        <v>0</v>
      </c>
      <c r="AD277" s="6">
        <f t="shared" si="16"/>
        <v>0</v>
      </c>
    </row>
    <row r="278" spans="1:30" ht="15" customHeight="1" x14ac:dyDescent="0.25">
      <c r="A278" s="2">
        <v>6089</v>
      </c>
      <c r="B278" s="15" t="s">
        <v>40</v>
      </c>
      <c r="C278" s="15">
        <v>6089</v>
      </c>
      <c r="D278" s="16" t="s">
        <v>443</v>
      </c>
      <c r="E278" s="17">
        <v>944.91</v>
      </c>
      <c r="F278" s="18">
        <v>0</v>
      </c>
      <c r="G278" s="32">
        <v>0</v>
      </c>
      <c r="H278" s="18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53">
        <f>'[3]Forecast (pcs.)'!Q278</f>
        <v>0</v>
      </c>
      <c r="R278" s="53">
        <f>'[3]Forecast (pcs.)'!R278</f>
        <v>0</v>
      </c>
      <c r="S278" s="53">
        <f>'[3]Forecast (pcs.)'!S278</f>
        <v>0</v>
      </c>
      <c r="T278" s="53">
        <f>'[3]Forecast (pcs.)'!T278</f>
        <v>0</v>
      </c>
      <c r="U278" s="53">
        <f>'[3]Forecast (pcs.)'!U278</f>
        <v>0</v>
      </c>
      <c r="V278" s="53">
        <f>'[3]Forecast (pcs.)'!V278</f>
        <v>0</v>
      </c>
      <c r="W278" s="53">
        <f>'[3]Forecast (pcs.)'!W278</f>
        <v>0</v>
      </c>
      <c r="X278" s="53">
        <f>'[3]Forecast (pcs.)'!X278</f>
        <v>0</v>
      </c>
      <c r="Y278" s="53">
        <f>'[3]Forecast (pcs.)'!Y278</f>
        <v>0</v>
      </c>
      <c r="Z278" s="53">
        <f>'[3]Forecast (pcs.)'!Z278</f>
        <v>0</v>
      </c>
      <c r="AA278" s="53">
        <f>'[3]Forecast (pcs.)'!AA278</f>
        <v>0</v>
      </c>
      <c r="AB278" s="53">
        <f>'[3]Forecast (pcs.)'!AB278</f>
        <v>0</v>
      </c>
      <c r="AD278" s="6">
        <f t="shared" si="16"/>
        <v>0</v>
      </c>
    </row>
    <row r="279" spans="1:30" ht="15" customHeight="1" x14ac:dyDescent="0.25">
      <c r="A279" s="2">
        <v>6090</v>
      </c>
      <c r="B279" s="15" t="s">
        <v>40</v>
      </c>
      <c r="C279" s="15">
        <v>6090</v>
      </c>
      <c r="D279" s="16" t="s">
        <v>444</v>
      </c>
      <c r="E279" s="17">
        <v>944.91</v>
      </c>
      <c r="F279" s="18">
        <v>0</v>
      </c>
      <c r="G279" s="32">
        <v>0</v>
      </c>
      <c r="H279" s="18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53">
        <f>'[3]Forecast (pcs.)'!Q279</f>
        <v>0</v>
      </c>
      <c r="R279" s="53">
        <f>'[3]Forecast (pcs.)'!R279</f>
        <v>0</v>
      </c>
      <c r="S279" s="53">
        <f>'[3]Forecast (pcs.)'!S279</f>
        <v>0</v>
      </c>
      <c r="T279" s="53">
        <f>'[3]Forecast (pcs.)'!T279</f>
        <v>0</v>
      </c>
      <c r="U279" s="53">
        <f>'[3]Forecast (pcs.)'!U279</f>
        <v>0</v>
      </c>
      <c r="V279" s="53">
        <f>'[3]Forecast (pcs.)'!V279</f>
        <v>0</v>
      </c>
      <c r="W279" s="53">
        <f>'[3]Forecast (pcs.)'!W279</f>
        <v>0</v>
      </c>
      <c r="X279" s="53">
        <f>'[3]Forecast (pcs.)'!X279</f>
        <v>0</v>
      </c>
      <c r="Y279" s="53">
        <f>'[3]Forecast (pcs.)'!Y279</f>
        <v>0</v>
      </c>
      <c r="Z279" s="53">
        <f>'[3]Forecast (pcs.)'!Z279</f>
        <v>0</v>
      </c>
      <c r="AA279" s="53">
        <f>'[3]Forecast (pcs.)'!AA279</f>
        <v>0</v>
      </c>
      <c r="AB279" s="53">
        <f>'[3]Forecast (pcs.)'!AB279</f>
        <v>0</v>
      </c>
      <c r="AD279" s="6">
        <f t="shared" si="16"/>
        <v>0</v>
      </c>
    </row>
    <row r="280" spans="1:30" ht="15" customHeight="1" x14ac:dyDescent="0.25">
      <c r="A280" s="2">
        <v>6091</v>
      </c>
      <c r="B280" s="15" t="s">
        <v>40</v>
      </c>
      <c r="C280" s="15">
        <v>6091</v>
      </c>
      <c r="D280" s="16"/>
      <c r="E280" s="17">
        <v>944.91</v>
      </c>
      <c r="F280" s="18">
        <v>0</v>
      </c>
      <c r="G280" s="32">
        <v>0</v>
      </c>
      <c r="H280" s="18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53">
        <f>'[3]Forecast (pcs.)'!Q280</f>
        <v>0</v>
      </c>
      <c r="R280" s="53">
        <f>'[3]Forecast (pcs.)'!R280</f>
        <v>0</v>
      </c>
      <c r="S280" s="53">
        <f>'[3]Forecast (pcs.)'!S280</f>
        <v>0</v>
      </c>
      <c r="T280" s="53">
        <f>'[3]Forecast (pcs.)'!T280</f>
        <v>0</v>
      </c>
      <c r="U280" s="53">
        <f>'[3]Forecast (pcs.)'!U280</f>
        <v>0</v>
      </c>
      <c r="V280" s="53">
        <f>'[3]Forecast (pcs.)'!V280</f>
        <v>0</v>
      </c>
      <c r="W280" s="53">
        <f>'[3]Forecast (pcs.)'!W280</f>
        <v>0</v>
      </c>
      <c r="X280" s="53">
        <f>'[3]Forecast (pcs.)'!X280</f>
        <v>0</v>
      </c>
      <c r="Y280" s="53">
        <f>'[3]Forecast (pcs.)'!Y280</f>
        <v>0</v>
      </c>
      <c r="Z280" s="53">
        <f>'[3]Forecast (pcs.)'!Z280</f>
        <v>0</v>
      </c>
      <c r="AA280" s="53">
        <f>'[3]Forecast (pcs.)'!AA280</f>
        <v>0</v>
      </c>
      <c r="AB280" s="53">
        <f>'[3]Forecast (pcs.)'!AB280</f>
        <v>0</v>
      </c>
      <c r="AD280" s="6">
        <f t="shared" si="16"/>
        <v>0</v>
      </c>
    </row>
    <row r="281" spans="1:30" ht="15" customHeight="1" x14ac:dyDescent="0.25">
      <c r="A281" s="2">
        <v>6092</v>
      </c>
      <c r="B281" s="15" t="s">
        <v>40</v>
      </c>
      <c r="C281" s="15">
        <v>6092</v>
      </c>
      <c r="D281" s="16" t="s">
        <v>445</v>
      </c>
      <c r="E281" s="17">
        <v>944.91</v>
      </c>
      <c r="F281" s="18">
        <v>0</v>
      </c>
      <c r="G281" s="32">
        <v>0</v>
      </c>
      <c r="H281" s="18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53">
        <f>'[3]Forecast (pcs.)'!Q281</f>
        <v>0</v>
      </c>
      <c r="R281" s="53">
        <f>'[3]Forecast (pcs.)'!R281</f>
        <v>0</v>
      </c>
      <c r="S281" s="53">
        <f>'[3]Forecast (pcs.)'!S281</f>
        <v>0</v>
      </c>
      <c r="T281" s="53">
        <f>'[3]Forecast (pcs.)'!T281</f>
        <v>0</v>
      </c>
      <c r="U281" s="53">
        <f>'[3]Forecast (pcs.)'!U281</f>
        <v>0</v>
      </c>
      <c r="V281" s="53">
        <f>'[3]Forecast (pcs.)'!V281</f>
        <v>0</v>
      </c>
      <c r="W281" s="53">
        <f>'[3]Forecast (pcs.)'!W281</f>
        <v>0</v>
      </c>
      <c r="X281" s="53">
        <f>'[3]Forecast (pcs.)'!X281</f>
        <v>0</v>
      </c>
      <c r="Y281" s="53">
        <f>'[3]Forecast (pcs.)'!Y281</f>
        <v>0</v>
      </c>
      <c r="Z281" s="53">
        <f>'[3]Forecast (pcs.)'!Z281</f>
        <v>0</v>
      </c>
      <c r="AA281" s="53">
        <f>'[3]Forecast (pcs.)'!AA281</f>
        <v>0</v>
      </c>
      <c r="AB281" s="53">
        <f>'[3]Forecast (pcs.)'!AB281</f>
        <v>0</v>
      </c>
      <c r="AD281" s="6">
        <f t="shared" si="16"/>
        <v>0</v>
      </c>
    </row>
    <row r="282" spans="1:30" ht="15" customHeight="1" x14ac:dyDescent="0.25">
      <c r="A282" s="2">
        <v>6108</v>
      </c>
      <c r="B282" s="15" t="s">
        <v>40</v>
      </c>
      <c r="C282" s="15">
        <v>6108</v>
      </c>
      <c r="D282" s="16" t="s">
        <v>103</v>
      </c>
      <c r="E282" s="17">
        <v>54.22</v>
      </c>
      <c r="F282" s="18">
        <v>1248</v>
      </c>
      <c r="G282" s="21">
        <v>2400</v>
      </c>
      <c r="H282" s="6">
        <v>2400</v>
      </c>
      <c r="I282" s="22">
        <v>3168</v>
      </c>
      <c r="J282" s="22">
        <v>1440</v>
      </c>
      <c r="K282" s="22">
        <v>2160</v>
      </c>
      <c r="L282" s="22">
        <v>3216</v>
      </c>
      <c r="M282" s="22">
        <v>3360</v>
      </c>
      <c r="N282" s="22">
        <v>5088</v>
      </c>
      <c r="O282" s="22">
        <v>5088</v>
      </c>
      <c r="P282" s="22">
        <v>3120</v>
      </c>
      <c r="Q282" s="53">
        <f>'[3]Forecast (pcs.)'!Q282</f>
        <v>2448</v>
      </c>
      <c r="R282" s="53">
        <f>'[3]Forecast (pcs.)'!R282</f>
        <v>2832</v>
      </c>
      <c r="S282" s="53">
        <f>'[3]Forecast (pcs.)'!S282</f>
        <v>2400</v>
      </c>
      <c r="T282" s="53">
        <f>'[3]Forecast (pcs.)'!T282</f>
        <v>2020</v>
      </c>
      <c r="U282" s="53">
        <f>'[3]Forecast (pcs.)'!U282</f>
        <v>2560</v>
      </c>
      <c r="V282" s="53">
        <f>'[3]Forecast (pcs.)'!V282</f>
        <v>2600</v>
      </c>
      <c r="W282" s="53">
        <f>'[3]Forecast (pcs.)'!W282</f>
        <v>2806.7646661501781</v>
      </c>
      <c r="X282" s="53">
        <f>'[3]Forecast (pcs.)'!X282</f>
        <v>2568.99981395653</v>
      </c>
      <c r="Y282" s="53">
        <f>'[3]Forecast (pcs.)'!Y282</f>
        <v>2535.984312079454</v>
      </c>
      <c r="Z282" s="53">
        <f>'[3]Forecast (pcs.)'!Z282</f>
        <v>2610.7585975689021</v>
      </c>
      <c r="AA282" s="53">
        <f>'[3]Forecast (pcs.)'!AA282</f>
        <v>2603.8133404428136</v>
      </c>
      <c r="AB282" s="53">
        <f>'[3]Forecast (pcs.)'!AB282</f>
        <v>2141.7611401329109</v>
      </c>
      <c r="AD282" s="6">
        <f t="shared" si="16"/>
        <v>2510.6734891942324</v>
      </c>
    </row>
    <row r="283" spans="1:30" ht="15" customHeight="1" x14ac:dyDescent="0.25">
      <c r="A283" s="2">
        <v>6403</v>
      </c>
      <c r="B283" s="15" t="s">
        <v>40</v>
      </c>
      <c r="C283" s="15">
        <v>6403</v>
      </c>
      <c r="D283" s="16"/>
      <c r="E283" s="17">
        <v>878.35</v>
      </c>
      <c r="F283" s="18">
        <v>0</v>
      </c>
      <c r="G283" s="21">
        <v>0</v>
      </c>
      <c r="H283" s="6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53">
        <f>'[3]Forecast (pcs.)'!Q283</f>
        <v>0</v>
      </c>
      <c r="R283" s="53">
        <f>'[3]Forecast (pcs.)'!R283</f>
        <v>0</v>
      </c>
      <c r="S283" s="53">
        <f>'[3]Forecast (pcs.)'!S283</f>
        <v>0</v>
      </c>
      <c r="T283" s="53">
        <f>'[3]Forecast (pcs.)'!T283</f>
        <v>0</v>
      </c>
      <c r="U283" s="53">
        <f>'[3]Forecast (pcs.)'!U283</f>
        <v>0</v>
      </c>
      <c r="V283" s="53">
        <f>'[3]Forecast (pcs.)'!V283</f>
        <v>0</v>
      </c>
      <c r="W283" s="53">
        <f>'[3]Forecast (pcs.)'!W283</f>
        <v>0</v>
      </c>
      <c r="X283" s="53">
        <f>'[3]Forecast (pcs.)'!X283</f>
        <v>0</v>
      </c>
      <c r="Y283" s="53">
        <f>'[3]Forecast (pcs.)'!Y283</f>
        <v>0</v>
      </c>
      <c r="Z283" s="53">
        <f>'[3]Forecast (pcs.)'!Z283</f>
        <v>0</v>
      </c>
      <c r="AA283" s="53">
        <f>'[3]Forecast (pcs.)'!AA283</f>
        <v>0</v>
      </c>
      <c r="AB283" s="53">
        <f>'[3]Forecast (pcs.)'!AB283</f>
        <v>0</v>
      </c>
      <c r="AD283" s="6">
        <f t="shared" si="16"/>
        <v>0</v>
      </c>
    </row>
    <row r="284" spans="1:30" ht="15" customHeight="1" x14ac:dyDescent="0.25">
      <c r="A284" s="2">
        <v>6404</v>
      </c>
      <c r="B284" s="15" t="s">
        <v>40</v>
      </c>
      <c r="C284" s="15">
        <v>6404</v>
      </c>
      <c r="D284" s="16" t="s">
        <v>145</v>
      </c>
      <c r="E284" s="17">
        <v>809.74</v>
      </c>
      <c r="F284" s="18">
        <v>0</v>
      </c>
      <c r="G284" s="21">
        <v>60</v>
      </c>
      <c r="H284" s="6">
        <v>0</v>
      </c>
      <c r="I284" s="22">
        <v>24</v>
      </c>
      <c r="J284" s="22">
        <v>36</v>
      </c>
      <c r="K284" s="22">
        <v>24</v>
      </c>
      <c r="L284" s="22">
        <v>36</v>
      </c>
      <c r="M284" s="22">
        <v>36</v>
      </c>
      <c r="N284" s="22">
        <v>24</v>
      </c>
      <c r="O284" s="22">
        <v>12</v>
      </c>
      <c r="P284" s="22">
        <v>12</v>
      </c>
      <c r="Q284" s="53">
        <f>'[3]Forecast (pcs.)'!Q284</f>
        <v>24</v>
      </c>
      <c r="R284" s="53">
        <f>'[3]Forecast (pcs.)'!R284</f>
        <v>12</v>
      </c>
      <c r="S284" s="53">
        <f>'[3]Forecast (pcs.)'!S284</f>
        <v>36</v>
      </c>
      <c r="T284" s="53">
        <f>'[3]Forecast (pcs.)'!T284</f>
        <v>24</v>
      </c>
      <c r="U284" s="53">
        <f>'[3]Forecast (pcs.)'!U284</f>
        <v>12</v>
      </c>
      <c r="V284" s="53">
        <f>'[3]Forecast (pcs.)'!V284</f>
        <v>24</v>
      </c>
      <c r="W284" s="53">
        <f>'[3]Forecast (pcs.)'!W284</f>
        <v>12</v>
      </c>
      <c r="X284" s="53">
        <f>'[3]Forecast (pcs.)'!X284</f>
        <v>12</v>
      </c>
      <c r="Y284" s="53">
        <f>'[3]Forecast (pcs.)'!Y284</f>
        <v>12</v>
      </c>
      <c r="Z284" s="53">
        <f>'[3]Forecast (pcs.)'!Z284</f>
        <v>24</v>
      </c>
      <c r="AA284" s="53">
        <f>'[3]Forecast (pcs.)'!AA284</f>
        <v>12</v>
      </c>
      <c r="AB284" s="53">
        <f>'[3]Forecast (pcs.)'!AB284</f>
        <v>12</v>
      </c>
      <c r="AD284" s="6">
        <f t="shared" si="16"/>
        <v>18</v>
      </c>
    </row>
    <row r="285" spans="1:30" ht="15" customHeight="1" x14ac:dyDescent="0.25">
      <c r="A285" s="2">
        <v>6405</v>
      </c>
      <c r="B285" s="15" t="s">
        <v>40</v>
      </c>
      <c r="C285" s="15">
        <v>6405</v>
      </c>
      <c r="D285" s="16"/>
      <c r="E285" s="17">
        <v>878.35</v>
      </c>
      <c r="F285" s="18">
        <v>0</v>
      </c>
      <c r="G285" s="21">
        <v>0</v>
      </c>
      <c r="H285" s="6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53">
        <f>'[3]Forecast (pcs.)'!Q285</f>
        <v>0</v>
      </c>
      <c r="R285" s="53">
        <f>'[3]Forecast (pcs.)'!R285</f>
        <v>0</v>
      </c>
      <c r="S285" s="53">
        <f>'[3]Forecast (pcs.)'!S285</f>
        <v>0</v>
      </c>
      <c r="T285" s="53">
        <f>'[3]Forecast (pcs.)'!T285</f>
        <v>0</v>
      </c>
      <c r="U285" s="53">
        <f>'[3]Forecast (pcs.)'!U285</f>
        <v>0</v>
      </c>
      <c r="V285" s="53">
        <f>'[3]Forecast (pcs.)'!V285</f>
        <v>0</v>
      </c>
      <c r="W285" s="53">
        <f>'[3]Forecast (pcs.)'!W285</f>
        <v>0</v>
      </c>
      <c r="X285" s="53">
        <f>'[3]Forecast (pcs.)'!X285</f>
        <v>0</v>
      </c>
      <c r="Y285" s="53">
        <f>'[3]Forecast (pcs.)'!Y285</f>
        <v>0</v>
      </c>
      <c r="Z285" s="53">
        <f>'[3]Forecast (pcs.)'!Z285</f>
        <v>0</v>
      </c>
      <c r="AA285" s="53">
        <f>'[3]Forecast (pcs.)'!AA285</f>
        <v>0</v>
      </c>
      <c r="AB285" s="53">
        <f>'[3]Forecast (pcs.)'!AB285</f>
        <v>0</v>
      </c>
      <c r="AD285" s="6">
        <f t="shared" si="16"/>
        <v>0</v>
      </c>
    </row>
    <row r="286" spans="1:30" ht="15" customHeight="1" x14ac:dyDescent="0.25">
      <c r="A286" s="2">
        <v>6406</v>
      </c>
      <c r="B286" s="15" t="s">
        <v>40</v>
      </c>
      <c r="C286" s="15">
        <v>6406</v>
      </c>
      <c r="D286" s="16" t="s">
        <v>141</v>
      </c>
      <c r="E286" s="17">
        <v>819.62</v>
      </c>
      <c r="F286" s="18">
        <v>1368</v>
      </c>
      <c r="G286" s="21">
        <v>1296</v>
      </c>
      <c r="H286" s="6">
        <v>36</v>
      </c>
      <c r="I286" s="22">
        <v>112</v>
      </c>
      <c r="J286" s="22">
        <v>109</v>
      </c>
      <c r="K286" s="22">
        <v>219</v>
      </c>
      <c r="L286" s="22">
        <v>486</v>
      </c>
      <c r="M286" s="22">
        <v>504</v>
      </c>
      <c r="N286" s="22">
        <v>432</v>
      </c>
      <c r="O286" s="22">
        <v>576</v>
      </c>
      <c r="P286" s="22">
        <v>434</v>
      </c>
      <c r="Q286" s="53">
        <f>'[3]Forecast (pcs.)'!Q286</f>
        <v>468</v>
      </c>
      <c r="R286" s="53">
        <f>'[3]Forecast (pcs.)'!R286</f>
        <v>504</v>
      </c>
      <c r="S286" s="53">
        <f>'[3]Forecast (pcs.)'!S286</f>
        <v>396</v>
      </c>
      <c r="T286" s="53">
        <f>'[3]Forecast (pcs.)'!T286</f>
        <v>504</v>
      </c>
      <c r="U286" s="53">
        <f>'[3]Forecast (pcs.)'!U286</f>
        <v>828</v>
      </c>
      <c r="V286" s="53">
        <f>'[3]Forecast (pcs.)'!V286</f>
        <v>756</v>
      </c>
      <c r="W286" s="53">
        <f>'[3]Forecast (pcs.)'!W286</f>
        <v>612</v>
      </c>
      <c r="X286" s="53">
        <f>'[3]Forecast (pcs.)'!X286</f>
        <v>792</v>
      </c>
      <c r="Y286" s="53">
        <f>'[3]Forecast (pcs.)'!Y286</f>
        <v>684</v>
      </c>
      <c r="Z286" s="53">
        <f>'[3]Forecast (pcs.)'!Z286</f>
        <v>720</v>
      </c>
      <c r="AA286" s="53">
        <f>'[3]Forecast (pcs.)'!AA286</f>
        <v>756</v>
      </c>
      <c r="AB286" s="53">
        <f>'[3]Forecast (pcs.)'!AB286</f>
        <v>684</v>
      </c>
      <c r="AD286" s="6">
        <f t="shared" si="16"/>
        <v>642</v>
      </c>
    </row>
    <row r="287" spans="1:30" ht="15" customHeight="1" x14ac:dyDescent="0.25">
      <c r="A287" s="2">
        <v>6407</v>
      </c>
      <c r="B287" s="15" t="s">
        <v>40</v>
      </c>
      <c r="C287" s="15">
        <v>6407</v>
      </c>
      <c r="D287" s="16" t="s">
        <v>144</v>
      </c>
      <c r="E287" s="17">
        <v>819.62</v>
      </c>
      <c r="F287" s="18">
        <v>0</v>
      </c>
      <c r="G287" s="21">
        <v>30</v>
      </c>
      <c r="H287" s="6">
        <v>0</v>
      </c>
      <c r="I287" s="22">
        <v>12</v>
      </c>
      <c r="J287" s="22">
        <v>18</v>
      </c>
      <c r="K287" s="22">
        <v>12</v>
      </c>
      <c r="L287" s="22">
        <v>18</v>
      </c>
      <c r="M287" s="22">
        <v>18</v>
      </c>
      <c r="N287" s="22">
        <v>12</v>
      </c>
      <c r="O287" s="22">
        <v>6</v>
      </c>
      <c r="P287" s="22">
        <v>6</v>
      </c>
      <c r="Q287" s="53">
        <f>'[3]Forecast (pcs.)'!Q287</f>
        <v>12</v>
      </c>
      <c r="R287" s="53">
        <f>'[3]Forecast (pcs.)'!R287</f>
        <v>6</v>
      </c>
      <c r="S287" s="53">
        <f>'[3]Forecast (pcs.)'!S287</f>
        <v>18</v>
      </c>
      <c r="T287" s="53">
        <f>'[3]Forecast (pcs.)'!T287</f>
        <v>12</v>
      </c>
      <c r="U287" s="53">
        <f>'[3]Forecast (pcs.)'!U287</f>
        <v>6</v>
      </c>
      <c r="V287" s="53">
        <f>'[3]Forecast (pcs.)'!V287</f>
        <v>12</v>
      </c>
      <c r="W287" s="53">
        <f>'[3]Forecast (pcs.)'!W287</f>
        <v>6</v>
      </c>
      <c r="X287" s="53">
        <f>'[3]Forecast (pcs.)'!X287</f>
        <v>6</v>
      </c>
      <c r="Y287" s="53">
        <f>'[3]Forecast (pcs.)'!Y287</f>
        <v>6</v>
      </c>
      <c r="Z287" s="53">
        <f>'[3]Forecast (pcs.)'!Z287</f>
        <v>12</v>
      </c>
      <c r="AA287" s="53">
        <f>'[3]Forecast (pcs.)'!AA287</f>
        <v>6</v>
      </c>
      <c r="AB287" s="53">
        <f>'[3]Forecast (pcs.)'!AB287</f>
        <v>6</v>
      </c>
      <c r="AD287" s="6">
        <f t="shared" si="16"/>
        <v>9</v>
      </c>
    </row>
    <row r="288" spans="1:30" ht="15" customHeight="1" x14ac:dyDescent="0.25">
      <c r="A288" s="2">
        <v>6408</v>
      </c>
      <c r="B288" s="15" t="s">
        <v>40</v>
      </c>
      <c r="C288" s="15">
        <v>6408</v>
      </c>
      <c r="D288" s="16"/>
      <c r="E288" s="17">
        <v>888.23</v>
      </c>
      <c r="F288" s="18">
        <v>0</v>
      </c>
      <c r="G288" s="21">
        <v>0</v>
      </c>
      <c r="H288" s="6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53">
        <f>'[3]Forecast (pcs.)'!Q288</f>
        <v>0</v>
      </c>
      <c r="R288" s="53">
        <f>'[3]Forecast (pcs.)'!R288</f>
        <v>0</v>
      </c>
      <c r="S288" s="53">
        <f>'[3]Forecast (pcs.)'!S288</f>
        <v>0</v>
      </c>
      <c r="T288" s="53">
        <f>'[3]Forecast (pcs.)'!T288</f>
        <v>0</v>
      </c>
      <c r="U288" s="53">
        <f>'[3]Forecast (pcs.)'!U288</f>
        <v>0</v>
      </c>
      <c r="V288" s="53">
        <f>'[3]Forecast (pcs.)'!V288</f>
        <v>0</v>
      </c>
      <c r="W288" s="53">
        <f>'[3]Forecast (pcs.)'!W288</f>
        <v>0</v>
      </c>
      <c r="X288" s="53">
        <f>'[3]Forecast (pcs.)'!X288</f>
        <v>0</v>
      </c>
      <c r="Y288" s="53">
        <f>'[3]Forecast (pcs.)'!Y288</f>
        <v>0</v>
      </c>
      <c r="Z288" s="53">
        <f>'[3]Forecast (pcs.)'!Z288</f>
        <v>0</v>
      </c>
      <c r="AA288" s="53">
        <f>'[3]Forecast (pcs.)'!AA288</f>
        <v>0</v>
      </c>
      <c r="AB288" s="53">
        <f>'[3]Forecast (pcs.)'!AB288</f>
        <v>0</v>
      </c>
      <c r="AD288" s="6">
        <f t="shared" si="16"/>
        <v>0</v>
      </c>
    </row>
    <row r="289" spans="1:30" ht="15" customHeight="1" x14ac:dyDescent="0.25">
      <c r="A289" s="2">
        <v>6409</v>
      </c>
      <c r="B289" s="15" t="s">
        <v>40</v>
      </c>
      <c r="C289" s="15">
        <v>6409</v>
      </c>
      <c r="D289" s="16" t="s">
        <v>146</v>
      </c>
      <c r="E289" s="17">
        <v>830.71</v>
      </c>
      <c r="F289" s="18">
        <v>0</v>
      </c>
      <c r="G289" s="32">
        <v>0</v>
      </c>
      <c r="H289" s="18">
        <v>0</v>
      </c>
      <c r="I289" s="22">
        <v>0</v>
      </c>
      <c r="J289" s="22">
        <v>0</v>
      </c>
      <c r="K289" s="22">
        <v>0</v>
      </c>
      <c r="L289" s="22">
        <v>12</v>
      </c>
      <c r="M289" s="22">
        <v>0</v>
      </c>
      <c r="N289" s="22">
        <v>0</v>
      </c>
      <c r="O289" s="22">
        <v>0</v>
      </c>
      <c r="P289" s="22">
        <v>0</v>
      </c>
      <c r="Q289" s="53">
        <f>'[3]Forecast (pcs.)'!Q289</f>
        <v>12</v>
      </c>
      <c r="R289" s="53">
        <f>'[3]Forecast (pcs.)'!R289</f>
        <v>12</v>
      </c>
      <c r="S289" s="53">
        <f>'[3]Forecast (pcs.)'!S289</f>
        <v>12</v>
      </c>
      <c r="T289" s="53">
        <f>'[3]Forecast (pcs.)'!T289</f>
        <v>12</v>
      </c>
      <c r="U289" s="53">
        <f>'[3]Forecast (pcs.)'!U289</f>
        <v>24</v>
      </c>
      <c r="V289" s="53">
        <f>'[3]Forecast (pcs.)'!V289</f>
        <v>12</v>
      </c>
      <c r="W289" s="53">
        <f>'[3]Forecast (pcs.)'!W289</f>
        <v>12</v>
      </c>
      <c r="X289" s="53">
        <f>'[3]Forecast (pcs.)'!X289</f>
        <v>12</v>
      </c>
      <c r="Y289" s="53">
        <f>'[3]Forecast (pcs.)'!Y289</f>
        <v>12</v>
      </c>
      <c r="Z289" s="53">
        <f>'[3]Forecast (pcs.)'!Z289</f>
        <v>12</v>
      </c>
      <c r="AA289" s="53">
        <f>'[3]Forecast (pcs.)'!AA289</f>
        <v>12</v>
      </c>
      <c r="AB289" s="53">
        <f>'[3]Forecast (pcs.)'!AB289</f>
        <v>12</v>
      </c>
      <c r="AD289" s="6">
        <f t="shared" si="16"/>
        <v>13</v>
      </c>
    </row>
    <row r="290" spans="1:30" ht="15" customHeight="1" x14ac:dyDescent="0.25">
      <c r="A290" s="2">
        <v>6410</v>
      </c>
      <c r="B290" s="15" t="s">
        <v>40</v>
      </c>
      <c r="C290" s="15">
        <v>6410</v>
      </c>
      <c r="D290" s="16" t="s">
        <v>142</v>
      </c>
      <c r="E290" s="17">
        <v>830.71</v>
      </c>
      <c r="F290" s="18">
        <v>1368</v>
      </c>
      <c r="G290" s="21">
        <v>1386</v>
      </c>
      <c r="H290" s="6">
        <v>36</v>
      </c>
      <c r="I290" s="22">
        <v>144</v>
      </c>
      <c r="J290" s="22">
        <v>162</v>
      </c>
      <c r="K290" s="22">
        <v>255</v>
      </c>
      <c r="L290" s="22">
        <v>504</v>
      </c>
      <c r="M290" s="22">
        <v>558</v>
      </c>
      <c r="N290" s="22">
        <v>469</v>
      </c>
      <c r="O290" s="22">
        <v>595</v>
      </c>
      <c r="P290" s="22">
        <v>450</v>
      </c>
      <c r="Q290" s="53">
        <f>'[3]Forecast (pcs.)'!Q290</f>
        <v>468</v>
      </c>
      <c r="R290" s="53">
        <f>'[3]Forecast (pcs.)'!R290</f>
        <v>486</v>
      </c>
      <c r="S290" s="53">
        <f>'[3]Forecast (pcs.)'!S290</f>
        <v>414</v>
      </c>
      <c r="T290" s="53">
        <f>'[3]Forecast (pcs.)'!T290</f>
        <v>504</v>
      </c>
      <c r="U290" s="53">
        <f>'[3]Forecast (pcs.)'!U290</f>
        <v>774</v>
      </c>
      <c r="V290" s="53">
        <f>'[3]Forecast (pcs.)'!V290</f>
        <v>756</v>
      </c>
      <c r="W290" s="53">
        <f>'[3]Forecast (pcs.)'!W290</f>
        <v>594</v>
      </c>
      <c r="X290" s="53">
        <f>'[3]Forecast (pcs.)'!X290</f>
        <v>774</v>
      </c>
      <c r="Y290" s="53">
        <f>'[3]Forecast (pcs.)'!Y290</f>
        <v>666</v>
      </c>
      <c r="Z290" s="53">
        <f>'[3]Forecast (pcs.)'!Z290</f>
        <v>720</v>
      </c>
      <c r="AA290" s="53">
        <f>'[3]Forecast (pcs.)'!AA290</f>
        <v>738</v>
      </c>
      <c r="AB290" s="53">
        <f>'[3]Forecast (pcs.)'!AB290</f>
        <v>666</v>
      </c>
      <c r="AD290" s="6">
        <f t="shared" si="16"/>
        <v>630</v>
      </c>
    </row>
    <row r="291" spans="1:30" ht="15" customHeight="1" x14ac:dyDescent="0.25">
      <c r="A291" s="2">
        <v>6411</v>
      </c>
      <c r="B291" s="15" t="s">
        <v>40</v>
      </c>
      <c r="C291" s="15">
        <v>6411</v>
      </c>
      <c r="D291" s="16" t="s">
        <v>143</v>
      </c>
      <c r="E291" s="17">
        <v>830.71</v>
      </c>
      <c r="F291" s="18">
        <v>0</v>
      </c>
      <c r="G291" s="32">
        <v>0</v>
      </c>
      <c r="H291" s="18">
        <v>0</v>
      </c>
      <c r="I291" s="22">
        <v>0</v>
      </c>
      <c r="J291" s="22">
        <v>0</v>
      </c>
      <c r="K291" s="22">
        <v>0</v>
      </c>
      <c r="L291" s="22">
        <v>24</v>
      </c>
      <c r="M291" s="22">
        <v>0</v>
      </c>
      <c r="N291" s="22">
        <v>0</v>
      </c>
      <c r="O291" s="22">
        <v>0</v>
      </c>
      <c r="P291" s="22">
        <v>0</v>
      </c>
      <c r="Q291" s="53">
        <f>'[3]Forecast (pcs.)'!Q291</f>
        <v>24</v>
      </c>
      <c r="R291" s="53">
        <f>'[3]Forecast (pcs.)'!R291</f>
        <v>24</v>
      </c>
      <c r="S291" s="53">
        <f>'[3]Forecast (pcs.)'!S291</f>
        <v>24</v>
      </c>
      <c r="T291" s="53">
        <f>'[3]Forecast (pcs.)'!T291</f>
        <v>24</v>
      </c>
      <c r="U291" s="53">
        <f>'[3]Forecast (pcs.)'!U291</f>
        <v>48</v>
      </c>
      <c r="V291" s="53">
        <f>'[3]Forecast (pcs.)'!V291</f>
        <v>24</v>
      </c>
      <c r="W291" s="53">
        <f>'[3]Forecast (pcs.)'!W291</f>
        <v>24</v>
      </c>
      <c r="X291" s="53">
        <f>'[3]Forecast (pcs.)'!X291</f>
        <v>24</v>
      </c>
      <c r="Y291" s="53">
        <f>'[3]Forecast (pcs.)'!Y291</f>
        <v>24</v>
      </c>
      <c r="Z291" s="53">
        <f>'[3]Forecast (pcs.)'!Z291</f>
        <v>24</v>
      </c>
      <c r="AA291" s="53">
        <f>'[3]Forecast (pcs.)'!AA291</f>
        <v>24</v>
      </c>
      <c r="AB291" s="53">
        <f>'[3]Forecast (pcs.)'!AB291</f>
        <v>24</v>
      </c>
      <c r="AD291" s="6">
        <f t="shared" si="16"/>
        <v>26</v>
      </c>
    </row>
    <row r="292" spans="1:30" ht="15" customHeight="1" x14ac:dyDescent="0.25">
      <c r="A292" s="2">
        <v>6412</v>
      </c>
      <c r="B292" s="15" t="s">
        <v>40</v>
      </c>
      <c r="C292" s="15">
        <v>6412</v>
      </c>
      <c r="D292" s="16"/>
      <c r="E292" s="17">
        <v>912.12</v>
      </c>
      <c r="F292" s="18">
        <v>0</v>
      </c>
      <c r="G292" s="32">
        <v>0</v>
      </c>
      <c r="H292" s="18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53">
        <f>'[3]Forecast (pcs.)'!Q292</f>
        <v>0</v>
      </c>
      <c r="R292" s="53">
        <f>'[3]Forecast (pcs.)'!R292</f>
        <v>0</v>
      </c>
      <c r="S292" s="53">
        <f>'[3]Forecast (pcs.)'!S292</f>
        <v>0</v>
      </c>
      <c r="T292" s="53">
        <f>'[3]Forecast (pcs.)'!T292</f>
        <v>0</v>
      </c>
      <c r="U292" s="53">
        <f>'[3]Forecast (pcs.)'!U292</f>
        <v>0</v>
      </c>
      <c r="V292" s="53">
        <f>'[3]Forecast (pcs.)'!V292</f>
        <v>0</v>
      </c>
      <c r="W292" s="53">
        <f>'[3]Forecast (pcs.)'!W292</f>
        <v>0</v>
      </c>
      <c r="X292" s="53">
        <f>'[3]Forecast (pcs.)'!X292</f>
        <v>0</v>
      </c>
      <c r="Y292" s="53">
        <f>'[3]Forecast (pcs.)'!Y292</f>
        <v>0</v>
      </c>
      <c r="Z292" s="53">
        <f>'[3]Forecast (pcs.)'!Z292</f>
        <v>0</v>
      </c>
      <c r="AA292" s="53">
        <f>'[3]Forecast (pcs.)'!AA292</f>
        <v>0</v>
      </c>
      <c r="AB292" s="53">
        <f>'[3]Forecast (pcs.)'!AB292</f>
        <v>0</v>
      </c>
      <c r="AD292" s="6">
        <f t="shared" si="16"/>
        <v>0</v>
      </c>
    </row>
    <row r="293" spans="1:30" ht="15" customHeight="1" x14ac:dyDescent="0.25">
      <c r="A293" s="2">
        <v>6413</v>
      </c>
      <c r="B293" s="15" t="s">
        <v>40</v>
      </c>
      <c r="C293" s="15">
        <v>6413</v>
      </c>
      <c r="D293" s="16" t="s">
        <v>153</v>
      </c>
      <c r="E293" s="17">
        <v>969.21</v>
      </c>
      <c r="F293" s="18">
        <v>540</v>
      </c>
      <c r="G293" s="21">
        <v>387</v>
      </c>
      <c r="H293" s="6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53">
        <f>'[3]Forecast (pcs.)'!Q293</f>
        <v>162</v>
      </c>
      <c r="R293" s="53">
        <f>'[3]Forecast (pcs.)'!R293</f>
        <v>27</v>
      </c>
      <c r="S293" s="53">
        <f>'[3]Forecast (pcs.)'!S293</f>
        <v>54</v>
      </c>
      <c r="T293" s="53">
        <f>'[3]Forecast (pcs.)'!T293</f>
        <v>0</v>
      </c>
      <c r="U293" s="53">
        <f>'[3]Forecast (pcs.)'!U293</f>
        <v>27</v>
      </c>
      <c r="V293" s="53">
        <f>'[3]Forecast (pcs.)'!V293</f>
        <v>27</v>
      </c>
      <c r="W293" s="53">
        <f>'[3]Forecast (pcs.)'!W293</f>
        <v>161.32631730662297</v>
      </c>
      <c r="X293" s="53">
        <f>'[3]Forecast (pcs.)'!X293</f>
        <v>116.87912457404417</v>
      </c>
      <c r="Y293" s="53">
        <f>'[3]Forecast (pcs.)'!Y293</f>
        <v>86.691391228416265</v>
      </c>
      <c r="Z293" s="53">
        <f>'[3]Forecast (pcs.)'!Z293</f>
        <v>52.180033881424222</v>
      </c>
      <c r="AA293" s="53">
        <f>'[3]Forecast (pcs.)'!AA293</f>
        <v>50.699149047454043</v>
      </c>
      <c r="AB293" s="53">
        <f>'[3]Forecast (pcs.)'!AB293</f>
        <v>55.30708969294831</v>
      </c>
      <c r="AD293" s="6">
        <f t="shared" si="16"/>
        <v>68.340258810909177</v>
      </c>
    </row>
    <row r="294" spans="1:30" ht="15" customHeight="1" x14ac:dyDescent="0.25">
      <c r="A294" s="2">
        <v>6414</v>
      </c>
      <c r="B294" s="15" t="s">
        <v>40</v>
      </c>
      <c r="C294" s="15">
        <v>6414</v>
      </c>
      <c r="D294" s="16" t="s">
        <v>154</v>
      </c>
      <c r="E294" s="17">
        <v>969.21</v>
      </c>
      <c r="F294" s="18">
        <v>540</v>
      </c>
      <c r="G294" s="21">
        <v>387</v>
      </c>
      <c r="H294" s="6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53">
        <f>'[3]Forecast (pcs.)'!Q294</f>
        <v>162</v>
      </c>
      <c r="R294" s="53">
        <f>'[3]Forecast (pcs.)'!R294</f>
        <v>27</v>
      </c>
      <c r="S294" s="53">
        <f>'[3]Forecast (pcs.)'!S294</f>
        <v>54</v>
      </c>
      <c r="T294" s="53">
        <f>'[3]Forecast (pcs.)'!T294</f>
        <v>0</v>
      </c>
      <c r="U294" s="53">
        <f>'[3]Forecast (pcs.)'!U294</f>
        <v>27</v>
      </c>
      <c r="V294" s="53">
        <f>'[3]Forecast (pcs.)'!V294</f>
        <v>27</v>
      </c>
      <c r="W294" s="53">
        <f>'[3]Forecast (pcs.)'!W294</f>
        <v>161.32631730662297</v>
      </c>
      <c r="X294" s="53">
        <f>'[3]Forecast (pcs.)'!X294</f>
        <v>116.87912457404417</v>
      </c>
      <c r="Y294" s="53">
        <f>'[3]Forecast (pcs.)'!Y294</f>
        <v>86.691391228416265</v>
      </c>
      <c r="Z294" s="53">
        <f>'[3]Forecast (pcs.)'!Z294</f>
        <v>52.180033881424222</v>
      </c>
      <c r="AA294" s="53">
        <f>'[3]Forecast (pcs.)'!AA294</f>
        <v>50.699149047454043</v>
      </c>
      <c r="AB294" s="53">
        <f>'[3]Forecast (pcs.)'!AB294</f>
        <v>55.30708969294831</v>
      </c>
      <c r="AD294" s="6">
        <f t="shared" si="16"/>
        <v>68.340258810909177</v>
      </c>
    </row>
    <row r="295" spans="1:30" ht="15" customHeight="1" x14ac:dyDescent="0.25">
      <c r="A295" s="2">
        <v>6511</v>
      </c>
      <c r="B295" s="15" t="s">
        <v>40</v>
      </c>
      <c r="C295" s="15">
        <v>6511</v>
      </c>
      <c r="D295" s="46" t="s">
        <v>94</v>
      </c>
      <c r="E295" s="17">
        <v>135.47999999999999</v>
      </c>
      <c r="F295" s="18">
        <v>1650</v>
      </c>
      <c r="G295" s="21">
        <v>1600</v>
      </c>
      <c r="H295" s="6">
        <v>0</v>
      </c>
      <c r="I295" s="22">
        <v>2500</v>
      </c>
      <c r="J295" s="22">
        <v>2600</v>
      </c>
      <c r="K295" s="22">
        <v>0</v>
      </c>
      <c r="L295" s="22">
        <v>1200</v>
      </c>
      <c r="M295" s="22">
        <v>3000</v>
      </c>
      <c r="N295" s="22">
        <v>1150</v>
      </c>
      <c r="O295" s="22">
        <v>1200</v>
      </c>
      <c r="P295" s="22">
        <v>0</v>
      </c>
      <c r="Q295" s="53">
        <f>'[3]Forecast (pcs.)'!Q295</f>
        <v>1000</v>
      </c>
      <c r="R295" s="53">
        <f>'[3]Forecast (pcs.)'!R295</f>
        <v>3600</v>
      </c>
      <c r="S295" s="53">
        <f>'[3]Forecast (pcs.)'!S295</f>
        <v>9</v>
      </c>
      <c r="T295" s="53">
        <f>'[3]Forecast (pcs.)'!T295</f>
        <v>3000</v>
      </c>
      <c r="U295" s="53">
        <f>'[3]Forecast (pcs.)'!U295</f>
        <v>2500</v>
      </c>
      <c r="V295" s="53">
        <f>'[3]Forecast (pcs.)'!V295</f>
        <v>2248.7998099965612</v>
      </c>
      <c r="W295" s="53">
        <f>'[3]Forecast (pcs.)'!W295</f>
        <v>1727.9493037081547</v>
      </c>
      <c r="X295" s="53">
        <f>'[3]Forecast (pcs.)'!X295</f>
        <v>2011.3576387713551</v>
      </c>
      <c r="Y295" s="53">
        <f>'[3]Forecast (pcs.)'!Y295</f>
        <v>2076.589570208389</v>
      </c>
      <c r="Z295" s="53">
        <f>'[3]Forecast (pcs.)'!Z295</f>
        <v>2171.1461709948767</v>
      </c>
      <c r="AA295" s="53">
        <f>'[3]Forecast (pcs.)'!AA295</f>
        <v>2238.8708189789832</v>
      </c>
      <c r="AB295" s="53">
        <f>'[3]Forecast (pcs.)'!AB295</f>
        <v>0</v>
      </c>
      <c r="AC295" t="s">
        <v>446</v>
      </c>
      <c r="AD295" s="6">
        <f>AVERAGE(Q295:V295)</f>
        <v>2059.6333016660933</v>
      </c>
    </row>
    <row r="296" spans="1:30" ht="15" customHeight="1" x14ac:dyDescent="0.25">
      <c r="A296" s="2">
        <v>6426</v>
      </c>
      <c r="B296" s="15" t="s">
        <v>447</v>
      </c>
      <c r="C296" s="15">
        <v>6426</v>
      </c>
      <c r="D296" s="16" t="s">
        <v>448</v>
      </c>
      <c r="E296" s="17">
        <v>12</v>
      </c>
      <c r="F296" s="18">
        <v>0</v>
      </c>
      <c r="G296" s="19"/>
      <c r="H296" s="19"/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53">
        <f>'[3]Forecast (pcs.)'!Q296</f>
        <v>0</v>
      </c>
      <c r="R296" s="53">
        <f>'[3]Forecast (pcs.)'!R296</f>
        <v>0</v>
      </c>
      <c r="S296" s="53">
        <f>'[3]Forecast (pcs.)'!S296</f>
        <v>0</v>
      </c>
      <c r="T296" s="53">
        <f>'[3]Forecast (pcs.)'!T296</f>
        <v>0</v>
      </c>
      <c r="U296" s="53">
        <f>'[3]Forecast (pcs.)'!U296</f>
        <v>0</v>
      </c>
      <c r="V296" s="53">
        <f>'[3]Forecast (pcs.)'!V296</f>
        <v>0</v>
      </c>
      <c r="W296" s="53">
        <f>'[3]Forecast (pcs.)'!W296</f>
        <v>0</v>
      </c>
      <c r="X296" s="53">
        <f>'[3]Forecast (pcs.)'!X296</f>
        <v>0</v>
      </c>
      <c r="Y296" s="53">
        <f>'[3]Forecast (pcs.)'!Y296</f>
        <v>0</v>
      </c>
      <c r="Z296" s="53">
        <f>'[3]Forecast (pcs.)'!Z296</f>
        <v>0</v>
      </c>
      <c r="AA296" s="53">
        <f>'[3]Forecast (pcs.)'!AA296</f>
        <v>0</v>
      </c>
      <c r="AB296" s="53">
        <f>'[3]Forecast (pcs.)'!AB296</f>
        <v>0</v>
      </c>
      <c r="AD296" s="6">
        <f>AVERAGE(Q296:S296)</f>
        <v>0</v>
      </c>
    </row>
    <row r="297" spans="1:30" ht="15" customHeight="1" x14ac:dyDescent="0.25">
      <c r="A297" s="2">
        <v>6427</v>
      </c>
      <c r="B297" s="15" t="s">
        <v>447</v>
      </c>
      <c r="C297" s="15">
        <v>6427</v>
      </c>
      <c r="D297" s="16" t="s">
        <v>449</v>
      </c>
      <c r="E297" s="17">
        <v>12</v>
      </c>
      <c r="F297" s="18">
        <v>0</v>
      </c>
      <c r="G297" s="19"/>
      <c r="H297" s="19"/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53">
        <f>'[3]Forecast (pcs.)'!Q297</f>
        <v>0</v>
      </c>
      <c r="R297" s="53">
        <f>'[3]Forecast (pcs.)'!R297</f>
        <v>0</v>
      </c>
      <c r="S297" s="53">
        <f>'[3]Forecast (pcs.)'!S297</f>
        <v>0</v>
      </c>
      <c r="T297" s="53">
        <f>'[3]Forecast (pcs.)'!T297</f>
        <v>0</v>
      </c>
      <c r="U297" s="53">
        <f>'[3]Forecast (pcs.)'!U297</f>
        <v>0</v>
      </c>
      <c r="V297" s="53">
        <f>'[3]Forecast (pcs.)'!V297</f>
        <v>0</v>
      </c>
      <c r="W297" s="53">
        <f>'[3]Forecast (pcs.)'!W297</f>
        <v>0</v>
      </c>
      <c r="X297" s="53">
        <f>'[3]Forecast (pcs.)'!X297</f>
        <v>0</v>
      </c>
      <c r="Y297" s="53">
        <f>'[3]Forecast (pcs.)'!Y297</f>
        <v>0</v>
      </c>
      <c r="Z297" s="53">
        <f>'[3]Forecast (pcs.)'!Z297</f>
        <v>0</v>
      </c>
      <c r="AA297" s="53">
        <f>'[3]Forecast (pcs.)'!AA297</f>
        <v>0</v>
      </c>
      <c r="AB297" s="53">
        <f>'[3]Forecast (pcs.)'!AB297</f>
        <v>0</v>
      </c>
      <c r="AD297" s="6">
        <f>AVERAGE(Q297:S297)</f>
        <v>0</v>
      </c>
    </row>
    <row r="298" spans="1:30" ht="15" customHeight="1" x14ac:dyDescent="0.25">
      <c r="A298" s="2">
        <v>5003</v>
      </c>
      <c r="B298" s="15" t="s">
        <v>450</v>
      </c>
      <c r="C298" s="15">
        <v>5003</v>
      </c>
      <c r="D298" s="16" t="s">
        <v>451</v>
      </c>
      <c r="E298" s="17">
        <v>5.14</v>
      </c>
      <c r="F298" s="18">
        <v>43200</v>
      </c>
      <c r="G298" s="21">
        <v>50400</v>
      </c>
      <c r="H298" s="6">
        <v>24300</v>
      </c>
      <c r="I298" s="22">
        <v>32400</v>
      </c>
      <c r="J298" s="22">
        <v>12600</v>
      </c>
      <c r="K298" s="22">
        <v>25200</v>
      </c>
      <c r="L298" s="22">
        <v>25200</v>
      </c>
      <c r="M298" s="22">
        <v>22500</v>
      </c>
      <c r="N298" s="22">
        <v>20700</v>
      </c>
      <c r="O298" s="22">
        <v>28800</v>
      </c>
      <c r="P298" s="22">
        <v>31500</v>
      </c>
      <c r="Q298" s="53">
        <f>'[3]Forecast (pcs.)'!Q298</f>
        <v>32400</v>
      </c>
      <c r="R298" s="53">
        <f>'[3]Forecast (pcs.)'!R298</f>
        <v>32400</v>
      </c>
      <c r="S298" s="53">
        <f>'[3]Forecast (pcs.)'!S298</f>
        <v>32400</v>
      </c>
      <c r="T298" s="53">
        <f>'[3]Forecast (pcs.)'!T298</f>
        <v>23222.5497942277</v>
      </c>
      <c r="U298" s="53">
        <f>'[3]Forecast (pcs.)'!U298</f>
        <v>29531.11402791935</v>
      </c>
      <c r="V298" s="53">
        <f>'[3]Forecast (pcs.)'!V298</f>
        <v>29414.38085575154</v>
      </c>
      <c r="W298" s="53">
        <f>'[3]Forecast (pcs.)'!W298</f>
        <v>29678.734452727309</v>
      </c>
      <c r="X298" s="53">
        <f>'[3]Forecast (pcs.)'!X298</f>
        <v>28515.413028678195</v>
      </c>
      <c r="Y298" s="53">
        <f>'[3]Forecast (pcs.)'!Y298</f>
        <v>29687.014320514132</v>
      </c>
      <c r="Z298" s="53">
        <f>'[3]Forecast (pcs.)'!Z298</f>
        <v>29961.793023748767</v>
      </c>
      <c r="AA298" s="53">
        <f>'[3]Forecast (pcs.)'!AA298</f>
        <v>29177.651884809329</v>
      </c>
      <c r="AB298" s="53">
        <f>'[3]Forecast (pcs.)'!AB298</f>
        <v>24422.06086631355</v>
      </c>
      <c r="AD298" s="6">
        <f t="shared" ref="AD298:AD307" si="17">AVERAGE(Q298:Y298)</f>
        <v>29694.356275535356</v>
      </c>
    </row>
    <row r="299" spans="1:30" ht="15" customHeight="1" x14ac:dyDescent="0.25">
      <c r="A299" s="2">
        <v>5313</v>
      </c>
      <c r="B299" s="15" t="s">
        <v>452</v>
      </c>
      <c r="C299" s="15">
        <v>5313</v>
      </c>
      <c r="D299" s="16" t="s">
        <v>453</v>
      </c>
      <c r="E299" s="17">
        <v>5.14</v>
      </c>
      <c r="F299" s="18">
        <v>9000</v>
      </c>
      <c r="G299" s="32">
        <v>16200</v>
      </c>
      <c r="H299" s="43">
        <v>0</v>
      </c>
      <c r="I299" s="22">
        <v>0</v>
      </c>
      <c r="J299" s="22">
        <v>0</v>
      </c>
      <c r="K299" s="22">
        <v>16200</v>
      </c>
      <c r="L299" s="22">
        <v>0</v>
      </c>
      <c r="M299" s="22">
        <v>16200</v>
      </c>
      <c r="N299" s="22">
        <v>16200</v>
      </c>
      <c r="O299" s="22">
        <v>0</v>
      </c>
      <c r="P299" s="22">
        <v>12600</v>
      </c>
      <c r="Q299" s="53">
        <f>'[3]Forecast (pcs.)'!Q299</f>
        <v>0</v>
      </c>
      <c r="R299" s="53">
        <f>'[3]Forecast (pcs.)'!R299</f>
        <v>0</v>
      </c>
      <c r="S299" s="53">
        <f>'[3]Forecast (pcs.)'!S299</f>
        <v>16200</v>
      </c>
      <c r="T299" s="53">
        <f>'[3]Forecast (pcs.)'!T299</f>
        <v>0</v>
      </c>
      <c r="U299" s="53">
        <f>'[3]Forecast (pcs.)'!U299</f>
        <v>16000</v>
      </c>
      <c r="V299" s="53">
        <f>'[3]Forecast (pcs.)'!V299</f>
        <v>0</v>
      </c>
      <c r="W299" s="53">
        <f>'[3]Forecast (pcs.)'!W299</f>
        <v>1116</v>
      </c>
      <c r="X299" s="53">
        <f>'[3]Forecast (pcs.)'!X299</f>
        <v>8970.765426891945</v>
      </c>
      <c r="Y299" s="53">
        <f>'[3]Forecast (pcs.)'!Y299</f>
        <v>9339.3436534227549</v>
      </c>
      <c r="Z299" s="53">
        <f>'[3]Forecast (pcs.)'!Z299</f>
        <v>9425.7872651124908</v>
      </c>
      <c r="AA299" s="53">
        <f>'[3]Forecast (pcs.)'!AA299</f>
        <v>9179.1015091696572</v>
      </c>
      <c r="AB299" s="53">
        <f>'[3]Forecast (pcs.)'!AB299</f>
        <v>7683.0231795219343</v>
      </c>
      <c r="AD299" s="6">
        <f t="shared" si="17"/>
        <v>5736.2343422571885</v>
      </c>
    </row>
    <row r="300" spans="1:30" ht="15" customHeight="1" x14ac:dyDescent="0.25">
      <c r="A300" s="2">
        <v>4634</v>
      </c>
      <c r="B300" s="15" t="s">
        <v>454</v>
      </c>
      <c r="C300" s="15">
        <v>4634</v>
      </c>
      <c r="D300" s="16" t="s">
        <v>455</v>
      </c>
      <c r="E300" s="17">
        <v>6.16</v>
      </c>
      <c r="F300" s="18">
        <v>0</v>
      </c>
      <c r="G300" s="32">
        <v>0</v>
      </c>
      <c r="H300" s="18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53">
        <f>'[3]Forecast (pcs.)'!Q300</f>
        <v>0</v>
      </c>
      <c r="R300" s="53">
        <f>'[3]Forecast (pcs.)'!R300</f>
        <v>0</v>
      </c>
      <c r="S300" s="53">
        <f>'[3]Forecast (pcs.)'!S300</f>
        <v>0</v>
      </c>
      <c r="T300" s="53">
        <f>'[3]Forecast (pcs.)'!T300</f>
        <v>0</v>
      </c>
      <c r="U300" s="53">
        <f>'[3]Forecast (pcs.)'!U300</f>
        <v>0</v>
      </c>
      <c r="V300" s="53">
        <f>'[3]Forecast (pcs.)'!V300</f>
        <v>0</v>
      </c>
      <c r="W300" s="53">
        <f>'[3]Forecast (pcs.)'!W300</f>
        <v>0</v>
      </c>
      <c r="X300" s="53">
        <f>'[3]Forecast (pcs.)'!X300</f>
        <v>0</v>
      </c>
      <c r="Y300" s="53">
        <f>'[3]Forecast (pcs.)'!Y300</f>
        <v>0</v>
      </c>
      <c r="Z300" s="53">
        <f>'[3]Forecast (pcs.)'!Z300</f>
        <v>0</v>
      </c>
      <c r="AA300" s="53">
        <f>'[3]Forecast (pcs.)'!AA300</f>
        <v>0</v>
      </c>
      <c r="AB300" s="53">
        <f>'[3]Forecast (pcs.)'!AB300</f>
        <v>0</v>
      </c>
      <c r="AD300" s="6">
        <f t="shared" si="17"/>
        <v>0</v>
      </c>
    </row>
    <row r="301" spans="1:30" ht="15" customHeight="1" x14ac:dyDescent="0.25">
      <c r="A301" s="2">
        <v>4635</v>
      </c>
      <c r="B301" s="15" t="s">
        <v>454</v>
      </c>
      <c r="C301" s="15">
        <v>4635</v>
      </c>
      <c r="D301" s="16" t="s">
        <v>456</v>
      </c>
      <c r="E301" s="17">
        <v>5.8</v>
      </c>
      <c r="F301" s="18">
        <v>2500</v>
      </c>
      <c r="G301" s="21">
        <v>1000</v>
      </c>
      <c r="H301" s="23">
        <v>1500</v>
      </c>
      <c r="I301" s="22">
        <v>500</v>
      </c>
      <c r="J301" s="22">
        <v>500</v>
      </c>
      <c r="K301" s="22">
        <v>0</v>
      </c>
      <c r="L301" s="22">
        <v>0</v>
      </c>
      <c r="M301" s="22">
        <v>1000</v>
      </c>
      <c r="N301" s="22">
        <v>3000</v>
      </c>
      <c r="O301" s="22">
        <v>3000</v>
      </c>
      <c r="P301" s="22">
        <v>2000</v>
      </c>
      <c r="Q301" s="53">
        <f>'[3]Forecast (pcs.)'!Q301</f>
        <v>4000</v>
      </c>
      <c r="R301" s="53">
        <f>'[3]Forecast (pcs.)'!R301</f>
        <v>1000</v>
      </c>
      <c r="S301" s="53">
        <f>'[3]Forecast (pcs.)'!S301</f>
        <v>500</v>
      </c>
      <c r="T301" s="53">
        <f>'[3]Forecast (pcs.)'!T301</f>
        <v>2000</v>
      </c>
      <c r="U301" s="53">
        <f>'[3]Forecast (pcs.)'!U301</f>
        <v>1500</v>
      </c>
      <c r="V301" s="53">
        <f>'[3]Forecast (pcs.)'!V301</f>
        <v>1500</v>
      </c>
      <c r="W301" s="53">
        <f>'[3]Forecast (pcs.)'!W301</f>
        <v>2653.9658456591155</v>
      </c>
      <c r="X301" s="53">
        <f>'[3]Forecast (pcs.)'!X301</f>
        <v>2549.9379824809348</v>
      </c>
      <c r="Y301" s="53">
        <f>'[3]Forecast (pcs.)'!Y301</f>
        <v>2654.7062574966826</v>
      </c>
      <c r="Z301" s="53">
        <f>'[3]Forecast (pcs.)'!Z301</f>
        <v>2679.2778339788533</v>
      </c>
      <c r="AA301" s="53">
        <f>'[3]Forecast (pcs.)'!AA301</f>
        <v>2609.1574653278149</v>
      </c>
      <c r="AB301" s="53">
        <f>'[3]Forecast (pcs.)'!AB301</f>
        <v>2183.8975486991517</v>
      </c>
      <c r="AD301" s="6">
        <f t="shared" si="17"/>
        <v>2039.8455650707483</v>
      </c>
    </row>
    <row r="302" spans="1:30" ht="15" customHeight="1" x14ac:dyDescent="0.25">
      <c r="A302" s="2">
        <v>4654</v>
      </c>
      <c r="B302" s="15" t="s">
        <v>454</v>
      </c>
      <c r="C302" s="15">
        <v>4654</v>
      </c>
      <c r="D302" s="16" t="s">
        <v>457</v>
      </c>
      <c r="E302" s="17">
        <v>43.39</v>
      </c>
      <c r="F302" s="18">
        <v>0</v>
      </c>
      <c r="G302" s="21">
        <v>0</v>
      </c>
      <c r="H302" s="6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53">
        <f>'[3]Forecast (pcs.)'!Q302</f>
        <v>0</v>
      </c>
      <c r="R302" s="53">
        <f>'[3]Forecast (pcs.)'!R302</f>
        <v>0</v>
      </c>
      <c r="S302" s="53">
        <f>'[3]Forecast (pcs.)'!S302</f>
        <v>0</v>
      </c>
      <c r="T302" s="53">
        <f>'[3]Forecast (pcs.)'!T302</f>
        <v>0</v>
      </c>
      <c r="U302" s="53">
        <f>'[3]Forecast (pcs.)'!U302</f>
        <v>0</v>
      </c>
      <c r="V302" s="53">
        <f>'[3]Forecast (pcs.)'!V302</f>
        <v>0</v>
      </c>
      <c r="W302" s="53">
        <f>'[3]Forecast (pcs.)'!W302</f>
        <v>0</v>
      </c>
      <c r="X302" s="53">
        <f>'[3]Forecast (pcs.)'!X302</f>
        <v>0</v>
      </c>
      <c r="Y302" s="53">
        <f>'[3]Forecast (pcs.)'!Y302</f>
        <v>0</v>
      </c>
      <c r="Z302" s="53">
        <f>'[3]Forecast (pcs.)'!Z302</f>
        <v>0</v>
      </c>
      <c r="AA302" s="53">
        <f>'[3]Forecast (pcs.)'!AA302</f>
        <v>0</v>
      </c>
      <c r="AB302" s="53">
        <f>'[3]Forecast (pcs.)'!AB302</f>
        <v>0</v>
      </c>
      <c r="AD302" s="6">
        <f t="shared" si="17"/>
        <v>0</v>
      </c>
    </row>
    <row r="303" spans="1:30" ht="15" customHeight="1" x14ac:dyDescent="0.25">
      <c r="A303" s="2">
        <v>4657</v>
      </c>
      <c r="B303" s="15" t="s">
        <v>454</v>
      </c>
      <c r="C303" s="15">
        <v>4657</v>
      </c>
      <c r="D303" s="16" t="s">
        <v>458</v>
      </c>
      <c r="E303" s="17">
        <v>44.81</v>
      </c>
      <c r="F303" s="18">
        <v>27000</v>
      </c>
      <c r="G303" s="21">
        <v>27000</v>
      </c>
      <c r="H303" s="6">
        <v>28500</v>
      </c>
      <c r="I303" s="22">
        <v>48000</v>
      </c>
      <c r="J303" s="22">
        <v>40110</v>
      </c>
      <c r="K303" s="22">
        <v>31200</v>
      </c>
      <c r="L303" s="22">
        <v>34200</v>
      </c>
      <c r="M303" s="22">
        <v>31500</v>
      </c>
      <c r="N303" s="22">
        <v>31800</v>
      </c>
      <c r="O303" s="22">
        <v>36000</v>
      </c>
      <c r="P303" s="22">
        <v>35400</v>
      </c>
      <c r="Q303" s="53">
        <f>'[3]Forecast (pcs.)'!Q303</f>
        <v>34200</v>
      </c>
      <c r="R303" s="53">
        <f>'[3]Forecast (pcs.)'!R303</f>
        <v>37800</v>
      </c>
      <c r="S303" s="53">
        <f>'[3]Forecast (pcs.)'!S303</f>
        <v>45000</v>
      </c>
      <c r="T303" s="53">
        <f>'[3]Forecast (pcs.)'!T303</f>
        <v>38040</v>
      </c>
      <c r="U303" s="53">
        <f>'[3]Forecast (pcs.)'!U303</f>
        <v>43080</v>
      </c>
      <c r="V303" s="53">
        <f>'[3]Forecast (pcs.)'!V303</f>
        <v>40980</v>
      </c>
      <c r="W303" s="53">
        <f>'[3]Forecast (pcs.)'!W303</f>
        <v>39904.943440056835</v>
      </c>
      <c r="X303" s="53">
        <f>'[3]Forecast (pcs.)'!X303</f>
        <v>38340.783900059323</v>
      </c>
      <c r="Y303" s="53">
        <f>'[3]Forecast (pcs.)'!Y303</f>
        <v>39916.076248170692</v>
      </c>
      <c r="Z303" s="53">
        <f>'[3]Forecast (pcs.)'!Z303</f>
        <v>40285.533666531155</v>
      </c>
      <c r="AA303" s="53">
        <f>'[3]Forecast (pcs.)'!AA303</f>
        <v>39231.206102522621</v>
      </c>
      <c r="AB303" s="53">
        <f>'[3]Forecast (pcs.)'!AB303</f>
        <v>32837.011939042131</v>
      </c>
      <c r="AD303" s="6">
        <f t="shared" si="17"/>
        <v>39695.755954254098</v>
      </c>
    </row>
    <row r="304" spans="1:30" ht="15" customHeight="1" x14ac:dyDescent="0.25">
      <c r="A304" s="2">
        <v>4744</v>
      </c>
      <c r="B304" s="15" t="s">
        <v>454</v>
      </c>
      <c r="C304" s="15">
        <v>4744</v>
      </c>
      <c r="D304" s="16" t="s">
        <v>459</v>
      </c>
      <c r="E304" s="17">
        <v>6.78</v>
      </c>
      <c r="F304" s="18">
        <v>800</v>
      </c>
      <c r="G304" s="21">
        <v>1600</v>
      </c>
      <c r="H304" s="23">
        <v>1600</v>
      </c>
      <c r="I304" s="22">
        <v>1200</v>
      </c>
      <c r="J304" s="22">
        <v>800</v>
      </c>
      <c r="K304" s="22">
        <v>400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53">
        <f>'[3]Forecast (pcs.)'!Q304</f>
        <v>400</v>
      </c>
      <c r="R304" s="53">
        <f>'[3]Forecast (pcs.)'!R304</f>
        <v>800</v>
      </c>
      <c r="S304" s="53">
        <f>'[3]Forecast (pcs.)'!S304</f>
        <v>1200</v>
      </c>
      <c r="T304" s="53">
        <f>'[3]Forecast (pcs.)'!T304</f>
        <v>836</v>
      </c>
      <c r="U304" s="53">
        <f>'[3]Forecast (pcs.)'!U304</f>
        <v>436</v>
      </c>
      <c r="V304" s="53">
        <f>'[3]Forecast (pcs.)'!V304</f>
        <v>200</v>
      </c>
      <c r="W304" s="53">
        <f>'[3]Forecast (pcs.)'!W304</f>
        <v>418.28242033060224</v>
      </c>
      <c r="X304" s="53">
        <f>'[3]Forecast (pcs.)'!X304</f>
        <v>401.88694694379848</v>
      </c>
      <c r="Y304" s="53">
        <f>'[3]Forecast (pcs.)'!Y304</f>
        <v>418.39911409136238</v>
      </c>
      <c r="Z304" s="53">
        <f>'[3]Forecast (pcs.)'!Z304</f>
        <v>422.27175567004417</v>
      </c>
      <c r="AA304" s="53">
        <f>'[3]Forecast (pcs.)'!AA304</f>
        <v>411.22032576494445</v>
      </c>
      <c r="AB304" s="53">
        <f>'[3]Forecast (pcs.)'!AB304</f>
        <v>344.19657431464992</v>
      </c>
      <c r="AD304" s="6">
        <f t="shared" si="17"/>
        <v>567.84094237397369</v>
      </c>
    </row>
    <row r="305" spans="1:30" ht="15" customHeight="1" x14ac:dyDescent="0.25">
      <c r="A305" s="2">
        <v>4747</v>
      </c>
      <c r="B305" s="15" t="s">
        <v>454</v>
      </c>
      <c r="C305" s="15">
        <v>4747</v>
      </c>
      <c r="D305" s="16" t="s">
        <v>460</v>
      </c>
      <c r="E305" s="17">
        <v>7.52</v>
      </c>
      <c r="F305" s="18">
        <v>37800</v>
      </c>
      <c r="G305" s="21">
        <v>64800</v>
      </c>
      <c r="H305" s="23">
        <v>59400</v>
      </c>
      <c r="I305" s="22">
        <v>70200</v>
      </c>
      <c r="J305" s="22">
        <v>70200</v>
      </c>
      <c r="K305" s="22">
        <v>59400</v>
      </c>
      <c r="L305" s="22">
        <v>64800</v>
      </c>
      <c r="M305" s="22">
        <v>64800</v>
      </c>
      <c r="N305" s="22">
        <v>54000</v>
      </c>
      <c r="O305" s="22">
        <v>59400</v>
      </c>
      <c r="P305" s="22">
        <v>54000</v>
      </c>
      <c r="Q305" s="53">
        <f>'[3]Forecast (pcs.)'!Q305</f>
        <v>64800</v>
      </c>
      <c r="R305" s="53">
        <f>'[3]Forecast (pcs.)'!R305</f>
        <v>59400</v>
      </c>
      <c r="S305" s="53">
        <f>'[3]Forecast (pcs.)'!S305</f>
        <v>59400</v>
      </c>
      <c r="T305" s="53">
        <f>'[3]Forecast (pcs.)'!T305</f>
        <v>64279</v>
      </c>
      <c r="U305" s="53">
        <f>'[3]Forecast (pcs.)'!U305</f>
        <v>71055</v>
      </c>
      <c r="V305" s="53">
        <f>'[3]Forecast (pcs.)'!V305</f>
        <v>64315</v>
      </c>
      <c r="W305" s="53">
        <f>'[3]Forecast (pcs.)'!W305</f>
        <v>66973.393714486359</v>
      </c>
      <c r="X305" s="53">
        <f>'[3]Forecast (pcs.)'!X305</f>
        <v>64348.228417312501</v>
      </c>
      <c r="Y305" s="53">
        <f>'[3]Forecast (pcs.)'!Y305</f>
        <v>66992.078165000057</v>
      </c>
      <c r="Z305" s="53">
        <f>'[3]Forecast (pcs.)'!Z305</f>
        <v>67612.147134093117</v>
      </c>
      <c r="AA305" s="53">
        <f>'[3]Forecast (pcs.)'!AA305</f>
        <v>65842.644687499036</v>
      </c>
      <c r="AB305" s="53">
        <f>'[3]Forecast (pcs.)'!AB305</f>
        <v>55111.120062212169</v>
      </c>
      <c r="AD305" s="6">
        <f t="shared" si="17"/>
        <v>64618.077810755436</v>
      </c>
    </row>
    <row r="306" spans="1:30" ht="15" customHeight="1" x14ac:dyDescent="0.25">
      <c r="A306" s="2">
        <v>6602</v>
      </c>
      <c r="B306" s="15" t="s">
        <v>461</v>
      </c>
      <c r="C306" s="15">
        <v>6602</v>
      </c>
      <c r="D306" s="47" t="s">
        <v>462</v>
      </c>
      <c r="E306" s="17">
        <v>189.68</v>
      </c>
      <c r="F306" s="18">
        <v>0</v>
      </c>
      <c r="G306" s="19"/>
      <c r="H306" s="19"/>
      <c r="I306" s="22">
        <v>3200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53">
        <f>'[3]Forecast (pcs.)'!Q306</f>
        <v>0</v>
      </c>
      <c r="R306" s="53">
        <f>'[3]Forecast (pcs.)'!R306</f>
        <v>0</v>
      </c>
      <c r="S306" s="53">
        <f>'[3]Forecast (pcs.)'!S306</f>
        <v>0</v>
      </c>
      <c r="T306" s="53">
        <f>'[3]Forecast (pcs.)'!T306</f>
        <v>0</v>
      </c>
      <c r="U306" s="53">
        <f>'[3]Forecast (pcs.)'!U306</f>
        <v>0</v>
      </c>
      <c r="V306" s="53">
        <f>'[3]Forecast (pcs.)'!V306</f>
        <v>0</v>
      </c>
      <c r="W306" s="53">
        <f>'[3]Forecast (pcs.)'!W306</f>
        <v>0</v>
      </c>
      <c r="X306" s="53">
        <f>'[3]Forecast (pcs.)'!X306</f>
        <v>0</v>
      </c>
      <c r="Y306" s="53">
        <f>'[3]Forecast (pcs.)'!Y306</f>
        <v>0</v>
      </c>
      <c r="Z306" s="53">
        <f>'[3]Forecast (pcs.)'!Z306</f>
        <v>0</v>
      </c>
      <c r="AA306" s="53">
        <f>'[3]Forecast (pcs.)'!AA306</f>
        <v>0</v>
      </c>
      <c r="AB306" s="53">
        <f>'[3]Forecast (pcs.)'!AB306</f>
        <v>0</v>
      </c>
      <c r="AD306" s="6">
        <f t="shared" si="17"/>
        <v>0</v>
      </c>
    </row>
    <row r="307" spans="1:30" ht="15" customHeight="1" x14ac:dyDescent="0.25">
      <c r="A307" s="2">
        <v>6701</v>
      </c>
      <c r="B307" s="48" t="s">
        <v>138</v>
      </c>
      <c r="C307" s="3">
        <v>6701</v>
      </c>
      <c r="D307" t="s">
        <v>137</v>
      </c>
      <c r="E307" s="17">
        <v>60</v>
      </c>
      <c r="G307" s="1">
        <v>371</v>
      </c>
      <c r="H307" s="1">
        <v>997</v>
      </c>
      <c r="I307" s="22">
        <v>99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53">
        <f>'[3]Forecast (pcs.)'!Q307</f>
        <v>0</v>
      </c>
      <c r="R307" s="53">
        <f>'[3]Forecast (pcs.)'!R307</f>
        <v>0</v>
      </c>
      <c r="S307" s="53">
        <f>'[3]Forecast (pcs.)'!S307</f>
        <v>0</v>
      </c>
      <c r="T307" s="53">
        <f>'[3]Forecast (pcs.)'!T307</f>
        <v>0</v>
      </c>
      <c r="U307" s="53">
        <f>'[3]Forecast (pcs.)'!U307</f>
        <v>0</v>
      </c>
      <c r="V307" s="53">
        <f>'[3]Forecast (pcs.)'!V307</f>
        <v>0</v>
      </c>
      <c r="W307" s="53">
        <f>'[3]Forecast (pcs.)'!W307</f>
        <v>0</v>
      </c>
      <c r="X307" s="53">
        <f>'[3]Forecast (pcs.)'!X307</f>
        <v>0</v>
      </c>
      <c r="Y307" s="53">
        <f>'[3]Forecast (pcs.)'!Y307</f>
        <v>0</v>
      </c>
      <c r="Z307" s="53">
        <f>'[3]Forecast (pcs.)'!Z307</f>
        <v>0</v>
      </c>
      <c r="AA307" s="53">
        <f>'[3]Forecast (pcs.)'!AA307</f>
        <v>0</v>
      </c>
      <c r="AB307" s="53">
        <f>'[3]Forecast (pcs.)'!AB307</f>
        <v>0</v>
      </c>
      <c r="AD307" s="6">
        <f t="shared" si="17"/>
        <v>0</v>
      </c>
    </row>
    <row r="308" spans="1:30" ht="15" customHeight="1" x14ac:dyDescent="0.25">
      <c r="A308" s="2">
        <v>6702</v>
      </c>
      <c r="B308" s="3" t="s">
        <v>463</v>
      </c>
      <c r="C308" s="3">
        <v>6702</v>
      </c>
      <c r="D308" t="s">
        <v>464</v>
      </c>
      <c r="E308" s="17">
        <v>0</v>
      </c>
      <c r="G308" s="1"/>
      <c r="H308" s="1"/>
      <c r="I308" s="22"/>
      <c r="J308" s="22"/>
      <c r="K308" s="22"/>
      <c r="L308" s="22"/>
      <c r="M308" s="22"/>
      <c r="N308" s="22"/>
      <c r="O308" s="22"/>
      <c r="P308" s="22"/>
      <c r="Q308" s="53">
        <f>'[3]Forecast (pcs.)'!Q308</f>
        <v>0</v>
      </c>
      <c r="R308" s="53">
        <f>'[3]Forecast (pcs.)'!R308</f>
        <v>0</v>
      </c>
      <c r="S308" s="53">
        <f>'[3]Forecast (pcs.)'!S308</f>
        <v>0</v>
      </c>
      <c r="T308" s="53">
        <f>'[3]Forecast (pcs.)'!T308</f>
        <v>0</v>
      </c>
      <c r="U308" s="53">
        <f>'[3]Forecast (pcs.)'!U308</f>
        <v>0</v>
      </c>
      <c r="V308" s="53">
        <f>'[3]Forecast (pcs.)'!V308</f>
        <v>0</v>
      </c>
      <c r="W308" s="53">
        <f>'[3]Forecast (pcs.)'!W308</f>
        <v>0</v>
      </c>
      <c r="X308" s="53">
        <f>'[3]Forecast (pcs.)'!X308</f>
        <v>0</v>
      </c>
      <c r="Y308" s="53">
        <f>'[3]Forecast (pcs.)'!Y308</f>
        <v>0</v>
      </c>
      <c r="Z308" s="53">
        <f>'[3]Forecast (pcs.)'!Z308</f>
        <v>0</v>
      </c>
      <c r="AA308" s="53">
        <f>'[3]Forecast (pcs.)'!AA308</f>
        <v>0</v>
      </c>
      <c r="AB308" s="53">
        <f>'[3]Forecast (pcs.)'!AB308</f>
        <v>0</v>
      </c>
      <c r="AD308" s="6"/>
    </row>
    <row r="309" spans="1:30" ht="15" customHeight="1" x14ac:dyDescent="0.25">
      <c r="A309" s="2">
        <v>6703</v>
      </c>
      <c r="B309" s="3" t="s">
        <v>138</v>
      </c>
      <c r="C309" s="3">
        <v>6703</v>
      </c>
      <c r="D309" t="s">
        <v>184</v>
      </c>
      <c r="E309" s="17">
        <v>0</v>
      </c>
      <c r="Q309" s="53">
        <f>'[3]Forecast (pcs.)'!Q309</f>
        <v>0</v>
      </c>
      <c r="R309" s="53">
        <f>'[3]Forecast (pcs.)'!R309</f>
        <v>0</v>
      </c>
      <c r="S309" s="53">
        <f>'[3]Forecast (pcs.)'!S309</f>
        <v>0</v>
      </c>
      <c r="T309" s="53">
        <f>'[3]Forecast (pcs.)'!T309</f>
        <v>0</v>
      </c>
      <c r="U309" s="53">
        <f>'[3]Forecast (pcs.)'!U309</f>
        <v>0</v>
      </c>
      <c r="V309" s="53">
        <f>'[3]Forecast (pcs.)'!V309</f>
        <v>0</v>
      </c>
      <c r="W309" s="53">
        <f>'[3]Forecast (pcs.)'!W309</f>
        <v>0</v>
      </c>
      <c r="X309" s="53">
        <f>'[3]Forecast (pcs.)'!X309</f>
        <v>0</v>
      </c>
      <c r="Y309" s="53">
        <f>'[3]Forecast (pcs.)'!Y309</f>
        <v>0</v>
      </c>
      <c r="Z309" s="53">
        <f>'[3]Forecast (pcs.)'!Z309</f>
        <v>0</v>
      </c>
      <c r="AA309" s="53">
        <f>'[3]Forecast (pcs.)'!AA309</f>
        <v>0</v>
      </c>
      <c r="AB309" s="53">
        <f>'[3]Forecast (pcs.)'!AB309</f>
        <v>0</v>
      </c>
    </row>
    <row r="310" spans="1:30" ht="15" customHeight="1" x14ac:dyDescent="0.25">
      <c r="A310" s="2">
        <v>6704</v>
      </c>
      <c r="B310" s="3" t="s">
        <v>343</v>
      </c>
      <c r="C310" s="3">
        <v>6704</v>
      </c>
      <c r="D310" t="s">
        <v>465</v>
      </c>
      <c r="E310" s="17">
        <v>27</v>
      </c>
      <c r="F310" s="50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3">
        <f>'[3]Forecast (pcs.)'!Q310</f>
        <v>0</v>
      </c>
      <c r="R310" s="53">
        <f>'[3]Forecast (pcs.)'!R310</f>
        <v>0</v>
      </c>
      <c r="S310" s="53">
        <f>'[3]Forecast (pcs.)'!S310</f>
        <v>0</v>
      </c>
      <c r="T310" s="53">
        <f>'[3]Forecast (pcs.)'!T310</f>
        <v>0</v>
      </c>
      <c r="U310" s="53">
        <f>'[3]Forecast (pcs.)'!U310</f>
        <v>0</v>
      </c>
      <c r="V310" s="53">
        <f>'[3]Forecast (pcs.)'!V310</f>
        <v>828.16477126081361</v>
      </c>
      <c r="W310" s="53">
        <f>'[3]Forecast (pcs.)'!W310</f>
        <v>835.60767265129471</v>
      </c>
      <c r="X310" s="53">
        <f>'[3]Forecast (pcs.)'!X310</f>
        <v>802.85424412342354</v>
      </c>
      <c r="Y310" s="53">
        <f>'[3]Forecast (pcs.)'!Y310</f>
        <v>835.84079313903749</v>
      </c>
      <c r="Z310" s="53">
        <f>'[3]Forecast (pcs.)'!Z310</f>
        <v>843.57721441635829</v>
      </c>
      <c r="AA310" s="53">
        <f>'[3]Forecast (pcs.)'!AA310</f>
        <v>821.49964391944286</v>
      </c>
      <c r="AB310" s="53">
        <f>'[3]Forecast (pcs.)'!AB310</f>
        <v>687.60551344780185</v>
      </c>
    </row>
    <row r="311" spans="1:30" ht="15" customHeight="1" x14ac:dyDescent="0.25">
      <c r="A311" s="2">
        <v>6705</v>
      </c>
      <c r="B311" s="3" t="s">
        <v>274</v>
      </c>
      <c r="C311" s="3">
        <v>6705</v>
      </c>
      <c r="D311" t="s">
        <v>466</v>
      </c>
      <c r="E311" s="17">
        <v>938</v>
      </c>
      <c r="Q311" s="53">
        <f>'[3]Forecast (pcs.)'!Q311</f>
        <v>0</v>
      </c>
      <c r="R311" s="53">
        <f>'[3]Forecast (pcs.)'!R311</f>
        <v>0</v>
      </c>
      <c r="S311" s="53">
        <f>'[3]Forecast (pcs.)'!S311</f>
        <v>0</v>
      </c>
      <c r="T311" s="53">
        <f>'[3]Forecast (pcs.)'!T311</f>
        <v>0</v>
      </c>
      <c r="U311" s="53">
        <f>'[3]Forecast (pcs.)'!U311</f>
        <v>0</v>
      </c>
      <c r="V311" s="53">
        <f>'[3]Forecast (pcs.)'!V311</f>
        <v>0</v>
      </c>
      <c r="W311" s="53">
        <f>'[3]Forecast (pcs.)'!W311</f>
        <v>0</v>
      </c>
      <c r="X311" s="53">
        <f>'[3]Forecast (pcs.)'!X311</f>
        <v>0</v>
      </c>
      <c r="Y311" s="53">
        <f>'[3]Forecast (pcs.)'!Y311</f>
        <v>0</v>
      </c>
      <c r="Z311" s="53">
        <f>'[3]Forecast (pcs.)'!Z311</f>
        <v>0</v>
      </c>
      <c r="AA311" s="53">
        <f>'[3]Forecast (pcs.)'!AA311</f>
        <v>0</v>
      </c>
      <c r="AB311" s="53">
        <f>'[3]Forecast (pcs.)'!AB311</f>
        <v>0</v>
      </c>
    </row>
    <row r="312" spans="1:30" ht="15" customHeight="1" x14ac:dyDescent="0.25">
      <c r="A312" s="2">
        <v>6706</v>
      </c>
      <c r="B312" s="3" t="s">
        <v>40</v>
      </c>
      <c r="C312" s="52">
        <v>6706</v>
      </c>
      <c r="D312" t="s">
        <v>169</v>
      </c>
      <c r="E312" s="17">
        <v>334.64</v>
      </c>
      <c r="Q312" s="53">
        <f>'[3]Forecast (pcs.)'!Q312</f>
        <v>1123</v>
      </c>
      <c r="R312" s="53">
        <f>'[3]Forecast (pcs.)'!R312</f>
        <v>492</v>
      </c>
      <c r="S312" s="53">
        <f>'[3]Forecast (pcs.)'!S312</f>
        <v>783</v>
      </c>
      <c r="T312" s="53">
        <f>'[3]Forecast (pcs.)'!T312</f>
        <v>692</v>
      </c>
      <c r="U312" s="53">
        <f>'[3]Forecast (pcs.)'!U312</f>
        <v>1032</v>
      </c>
      <c r="V312" s="53">
        <f>'[3]Forecast (pcs.)'!V312</f>
        <v>912</v>
      </c>
      <c r="W312" s="53">
        <f>'[3]Forecast (pcs.)'!W312</f>
        <v>656.26919370364101</v>
      </c>
      <c r="X312" s="53">
        <f>'[3]Forecast (pcs.)'!X312</f>
        <v>724.4332005966329</v>
      </c>
      <c r="Y312" s="53">
        <f>'[3]Forecast (pcs.)'!Y312</f>
        <v>797.02115409498765</v>
      </c>
      <c r="Z312" s="53">
        <f>'[3]Forecast (pcs.)'!Z312</f>
        <v>873.18103835245256</v>
      </c>
      <c r="AA312" s="53">
        <f>'[3]Forecast (pcs.)'!AA312</f>
        <v>810.97746791172733</v>
      </c>
      <c r="AB312" s="53">
        <f>'[3]Forecast (pcs.)'!AB312</f>
        <v>691.97330854520021</v>
      </c>
    </row>
    <row r="313" spans="1:30" ht="15" customHeight="1" x14ac:dyDescent="0.25">
      <c r="A313" s="2">
        <v>6801</v>
      </c>
      <c r="B313" s="3" t="s">
        <v>467</v>
      </c>
      <c r="C313" s="3">
        <v>6801</v>
      </c>
      <c r="D313" t="s">
        <v>468</v>
      </c>
      <c r="Q313" s="53">
        <f>'[3]Forecast (pcs.)'!Q313</f>
        <v>1957</v>
      </c>
      <c r="R313" s="53">
        <f>'[3]Forecast (pcs.)'!R313</f>
        <v>0</v>
      </c>
      <c r="S313" s="53">
        <f>'[3]Forecast (pcs.)'!S313</f>
        <v>0</v>
      </c>
      <c r="T313" s="53">
        <f>'[3]Forecast (pcs.)'!T313</f>
        <v>0</v>
      </c>
      <c r="U313" s="53">
        <f>'[3]Forecast (pcs.)'!U313</f>
        <v>0</v>
      </c>
      <c r="V313" s="53">
        <f>'[3]Forecast (pcs.)'!V313</f>
        <v>0</v>
      </c>
      <c r="W313" s="53">
        <f>'[3]Forecast (pcs.)'!W313</f>
        <v>0</v>
      </c>
      <c r="X313" s="53">
        <f>'[3]Forecast (pcs.)'!X313</f>
        <v>0</v>
      </c>
      <c r="Y313" s="53">
        <f>'[3]Forecast (pcs.)'!Y313</f>
        <v>0</v>
      </c>
      <c r="Z313" s="53">
        <f>'[3]Forecast (pcs.)'!Z313</f>
        <v>0</v>
      </c>
      <c r="AA313" s="53">
        <f>'[3]Forecast (pcs.)'!AA313</f>
        <v>0</v>
      </c>
      <c r="AB313" s="53">
        <f>'[3]Forecast (pcs.)'!AB313</f>
        <v>0</v>
      </c>
    </row>
    <row r="314" spans="1:30" ht="15" customHeight="1" x14ac:dyDescent="0.25">
      <c r="A314" s="2">
        <v>6802</v>
      </c>
      <c r="B314" s="3" t="s">
        <v>467</v>
      </c>
      <c r="C314" s="3">
        <v>6802</v>
      </c>
      <c r="D314" t="s">
        <v>469</v>
      </c>
      <c r="Q314" s="53">
        <f>'[3]Forecast (pcs.)'!Q314</f>
        <v>1910</v>
      </c>
      <c r="R314" s="53">
        <f>'[3]Forecast (pcs.)'!R314</f>
        <v>0</v>
      </c>
      <c r="S314" s="53">
        <f>'[3]Forecast (pcs.)'!S314</f>
        <v>0</v>
      </c>
      <c r="T314" s="53">
        <f>'[3]Forecast (pcs.)'!T314</f>
        <v>0</v>
      </c>
      <c r="U314" s="53">
        <f>'[3]Forecast (pcs.)'!U314</f>
        <v>0</v>
      </c>
      <c r="V314" s="53">
        <f>'[3]Forecast (pcs.)'!V314</f>
        <v>0</v>
      </c>
      <c r="W314" s="53">
        <f>'[3]Forecast (pcs.)'!W314</f>
        <v>0</v>
      </c>
      <c r="X314" s="53">
        <f>'[3]Forecast (pcs.)'!X314</f>
        <v>0</v>
      </c>
      <c r="Y314" s="53">
        <f>'[3]Forecast (pcs.)'!Y314</f>
        <v>0</v>
      </c>
      <c r="Z314" s="53">
        <f>'[3]Forecast (pcs.)'!Z314</f>
        <v>0</v>
      </c>
      <c r="AA314" s="53">
        <f>'[3]Forecast (pcs.)'!AA314</f>
        <v>0</v>
      </c>
      <c r="AB314" s="53">
        <f>'[3]Forecast (pcs.)'!AB314</f>
        <v>0</v>
      </c>
    </row>
    <row r="315" spans="1:30" ht="15" customHeight="1" x14ac:dyDescent="0.25">
      <c r="A315" s="2">
        <v>6803</v>
      </c>
      <c r="B315" s="3" t="s">
        <v>467</v>
      </c>
      <c r="C315" s="3">
        <v>6803</v>
      </c>
      <c r="D315" t="s">
        <v>470</v>
      </c>
      <c r="Q315" s="53">
        <f>'[3]Forecast (pcs.)'!Q315</f>
        <v>1958</v>
      </c>
      <c r="R315" s="53">
        <f>'[3]Forecast (pcs.)'!R315</f>
        <v>0</v>
      </c>
      <c r="S315" s="53">
        <f>'[3]Forecast (pcs.)'!S315</f>
        <v>0</v>
      </c>
      <c r="T315" s="53">
        <f>'[3]Forecast (pcs.)'!T315</f>
        <v>0</v>
      </c>
      <c r="U315" s="53">
        <f>'[3]Forecast (pcs.)'!U315</f>
        <v>0</v>
      </c>
      <c r="V315" s="53">
        <f>'[3]Forecast (pcs.)'!V315</f>
        <v>0</v>
      </c>
      <c r="W315" s="53">
        <f>'[3]Forecast (pcs.)'!W315</f>
        <v>0</v>
      </c>
      <c r="X315" s="53">
        <f>'[3]Forecast (pcs.)'!X315</f>
        <v>0</v>
      </c>
      <c r="Y315" s="53">
        <f>'[3]Forecast (pcs.)'!Y315</f>
        <v>0</v>
      </c>
      <c r="Z315" s="53">
        <f>'[3]Forecast (pcs.)'!Z315</f>
        <v>0</v>
      </c>
      <c r="AA315" s="53">
        <f>'[3]Forecast (pcs.)'!AA315</f>
        <v>0</v>
      </c>
      <c r="AB315" s="53">
        <f>'[3]Forecast (pcs.)'!AB315</f>
        <v>0</v>
      </c>
    </row>
    <row r="316" spans="1:30" ht="15" customHeight="1" x14ac:dyDescent="0.25">
      <c r="A316" s="2">
        <v>6804</v>
      </c>
      <c r="B316" s="3" t="s">
        <v>467</v>
      </c>
      <c r="C316" s="3">
        <v>6804</v>
      </c>
      <c r="D316" t="s">
        <v>471</v>
      </c>
      <c r="Q316" s="53">
        <f>'[3]Forecast (pcs.)'!Q316</f>
        <v>1977</v>
      </c>
      <c r="R316" s="53">
        <f>'[3]Forecast (pcs.)'!R316</f>
        <v>0</v>
      </c>
      <c r="S316" s="53">
        <f>'[3]Forecast (pcs.)'!S316</f>
        <v>0</v>
      </c>
      <c r="T316" s="53">
        <f>'[3]Forecast (pcs.)'!T316</f>
        <v>0</v>
      </c>
      <c r="U316" s="53">
        <f>'[3]Forecast (pcs.)'!U316</f>
        <v>0</v>
      </c>
      <c r="V316" s="53">
        <f>'[3]Forecast (pcs.)'!V316</f>
        <v>0</v>
      </c>
      <c r="W316" s="53">
        <f>'[3]Forecast (pcs.)'!W316</f>
        <v>0</v>
      </c>
      <c r="X316" s="53">
        <f>'[3]Forecast (pcs.)'!X316</f>
        <v>0</v>
      </c>
      <c r="Y316" s="53">
        <f>'[3]Forecast (pcs.)'!Y316</f>
        <v>0</v>
      </c>
      <c r="Z316" s="53">
        <f>'[3]Forecast (pcs.)'!Z316</f>
        <v>0</v>
      </c>
      <c r="AA316" s="53">
        <f>'[3]Forecast (pcs.)'!AA316</f>
        <v>0</v>
      </c>
      <c r="AB316" s="53">
        <f>'[3]Forecast (pcs.)'!AB316</f>
        <v>0</v>
      </c>
    </row>
    <row r="317" spans="1:30" ht="15" customHeight="1" x14ac:dyDescent="0.25">
      <c r="A317" s="2">
        <v>6805</v>
      </c>
      <c r="B317" s="3" t="s">
        <v>467</v>
      </c>
      <c r="C317" s="3">
        <v>6805</v>
      </c>
      <c r="D317" t="s">
        <v>472</v>
      </c>
      <c r="Q317" s="53">
        <f>'[3]Forecast (pcs.)'!Q317</f>
        <v>1954</v>
      </c>
      <c r="R317" s="53">
        <f>'[3]Forecast (pcs.)'!R317</f>
        <v>0</v>
      </c>
      <c r="S317" s="53">
        <f>'[3]Forecast (pcs.)'!S317</f>
        <v>0</v>
      </c>
      <c r="T317" s="53">
        <f>'[3]Forecast (pcs.)'!T317</f>
        <v>0</v>
      </c>
      <c r="U317" s="53">
        <f>'[3]Forecast (pcs.)'!U317</f>
        <v>0</v>
      </c>
      <c r="V317" s="53">
        <f>'[3]Forecast (pcs.)'!V317</f>
        <v>0</v>
      </c>
      <c r="W317" s="53">
        <f>'[3]Forecast (pcs.)'!W317</f>
        <v>0</v>
      </c>
      <c r="X317" s="53">
        <f>'[3]Forecast (pcs.)'!X317</f>
        <v>0</v>
      </c>
      <c r="Y317" s="53">
        <f>'[3]Forecast (pcs.)'!Y317</f>
        <v>0</v>
      </c>
      <c r="Z317" s="53">
        <f>'[3]Forecast (pcs.)'!Z317</f>
        <v>0</v>
      </c>
      <c r="AA317" s="53">
        <f>'[3]Forecast (pcs.)'!AA317</f>
        <v>0</v>
      </c>
      <c r="AB317" s="53">
        <f>'[3]Forecast (pcs.)'!AB317</f>
        <v>0</v>
      </c>
    </row>
    <row r="318" spans="1:30" ht="15" customHeight="1" x14ac:dyDescent="0.25">
      <c r="A318" s="2">
        <v>6806</v>
      </c>
      <c r="B318" s="3" t="s">
        <v>467</v>
      </c>
      <c r="C318" s="3">
        <v>6806</v>
      </c>
      <c r="D318" t="s">
        <v>473</v>
      </c>
      <c r="Q318" s="53">
        <f>'[3]Forecast (pcs.)'!Q318</f>
        <v>4876</v>
      </c>
      <c r="R318" s="53">
        <f>'[3]Forecast (pcs.)'!R318</f>
        <v>0</v>
      </c>
      <c r="S318" s="53">
        <f>'[3]Forecast (pcs.)'!S318</f>
        <v>0</v>
      </c>
      <c r="T318" s="53">
        <f>'[3]Forecast (pcs.)'!T318</f>
        <v>0</v>
      </c>
      <c r="U318" s="53">
        <f>'[3]Forecast (pcs.)'!U318</f>
        <v>0</v>
      </c>
      <c r="V318" s="53">
        <f>'[3]Forecast (pcs.)'!V318</f>
        <v>0</v>
      </c>
      <c r="W318" s="53">
        <f>'[3]Forecast (pcs.)'!W318</f>
        <v>0</v>
      </c>
      <c r="X318" s="53">
        <f>'[3]Forecast (pcs.)'!X318</f>
        <v>0</v>
      </c>
      <c r="Y318" s="53">
        <f>'[3]Forecast (pcs.)'!Y318</f>
        <v>0</v>
      </c>
      <c r="Z318" s="53">
        <f>'[3]Forecast (pcs.)'!Z318</f>
        <v>0</v>
      </c>
      <c r="AA318" s="53">
        <f>'[3]Forecast (pcs.)'!AA318</f>
        <v>0</v>
      </c>
      <c r="AB318" s="53">
        <f>'[3]Forecast (pcs.)'!AB318</f>
        <v>0</v>
      </c>
    </row>
    <row r="319" spans="1:30" ht="15" customHeight="1" x14ac:dyDescent="0.25">
      <c r="A319" s="2">
        <v>6807</v>
      </c>
      <c r="B319" s="3" t="s">
        <v>467</v>
      </c>
      <c r="C319" s="3">
        <v>6807</v>
      </c>
      <c r="D319" t="s">
        <v>474</v>
      </c>
      <c r="Q319" s="53">
        <f>'[3]Forecast (pcs.)'!Q319</f>
        <v>1954</v>
      </c>
      <c r="R319" s="53">
        <f>'[3]Forecast (pcs.)'!R319</f>
        <v>0</v>
      </c>
      <c r="S319" s="53">
        <f>'[3]Forecast (pcs.)'!S319</f>
        <v>0</v>
      </c>
      <c r="T319" s="53">
        <f>'[3]Forecast (pcs.)'!T319</f>
        <v>0</v>
      </c>
      <c r="U319" s="53">
        <f>'[3]Forecast (pcs.)'!U319</f>
        <v>0</v>
      </c>
      <c r="V319" s="53">
        <f>'[3]Forecast (pcs.)'!V319</f>
        <v>0</v>
      </c>
      <c r="W319" s="53">
        <f>'[3]Forecast (pcs.)'!W319</f>
        <v>0</v>
      </c>
      <c r="X319" s="53">
        <f>'[3]Forecast (pcs.)'!X319</f>
        <v>0</v>
      </c>
      <c r="Y319" s="53">
        <f>'[3]Forecast (pcs.)'!Y319</f>
        <v>0</v>
      </c>
      <c r="Z319" s="53">
        <f>'[3]Forecast (pcs.)'!Z319</f>
        <v>0</v>
      </c>
      <c r="AA319" s="53">
        <f>'[3]Forecast (pcs.)'!AA319</f>
        <v>0</v>
      </c>
      <c r="AB319" s="53">
        <f>'[3]Forecast (pcs.)'!AB319</f>
        <v>0</v>
      </c>
    </row>
    <row r="320" spans="1:30" ht="15" customHeight="1" x14ac:dyDescent="0.25">
      <c r="A320" s="2">
        <v>6808</v>
      </c>
      <c r="B320" s="3" t="s">
        <v>467</v>
      </c>
      <c r="C320" s="3">
        <v>6808</v>
      </c>
      <c r="D320" t="s">
        <v>475</v>
      </c>
      <c r="Q320" s="53">
        <f>'[3]Forecast (pcs.)'!Q320</f>
        <v>1998</v>
      </c>
      <c r="R320" s="53">
        <f>'[3]Forecast (pcs.)'!R320</f>
        <v>0</v>
      </c>
      <c r="S320" s="53">
        <f>'[3]Forecast (pcs.)'!S320</f>
        <v>0</v>
      </c>
      <c r="T320" s="53">
        <f>'[3]Forecast (pcs.)'!T320</f>
        <v>0</v>
      </c>
      <c r="U320" s="53">
        <f>'[3]Forecast (pcs.)'!U320</f>
        <v>0</v>
      </c>
      <c r="V320" s="53">
        <f>'[3]Forecast (pcs.)'!V320</f>
        <v>0</v>
      </c>
      <c r="W320" s="53">
        <f>'[3]Forecast (pcs.)'!W320</f>
        <v>0</v>
      </c>
      <c r="X320" s="53">
        <f>'[3]Forecast (pcs.)'!X320</f>
        <v>0</v>
      </c>
      <c r="Y320" s="53">
        <f>'[3]Forecast (pcs.)'!Y320</f>
        <v>0</v>
      </c>
      <c r="Z320" s="53">
        <f>'[3]Forecast (pcs.)'!Z320</f>
        <v>0</v>
      </c>
      <c r="AA320" s="53">
        <f>'[3]Forecast (pcs.)'!AA320</f>
        <v>0</v>
      </c>
      <c r="AB320" s="53">
        <f>'[3]Forecast (pcs.)'!AB320</f>
        <v>0</v>
      </c>
    </row>
    <row r="321" spans="1:28" ht="15" customHeight="1" x14ac:dyDescent="0.25">
      <c r="A321" s="2">
        <v>6809</v>
      </c>
      <c r="B321" s="3" t="s">
        <v>467</v>
      </c>
      <c r="C321" s="3">
        <v>6809</v>
      </c>
      <c r="D321" t="s">
        <v>476</v>
      </c>
      <c r="Q321" s="53">
        <f>'[3]Forecast (pcs.)'!Q321</f>
        <v>1930</v>
      </c>
      <c r="R321" s="53">
        <f>'[3]Forecast (pcs.)'!R321</f>
        <v>0</v>
      </c>
      <c r="S321" s="53">
        <f>'[3]Forecast (pcs.)'!S321</f>
        <v>0</v>
      </c>
      <c r="T321" s="53">
        <f>'[3]Forecast (pcs.)'!T321</f>
        <v>0</v>
      </c>
      <c r="U321" s="53">
        <f>'[3]Forecast (pcs.)'!U321</f>
        <v>0</v>
      </c>
      <c r="V321" s="53">
        <f>'[3]Forecast (pcs.)'!V321</f>
        <v>0</v>
      </c>
      <c r="W321" s="53">
        <f>'[3]Forecast (pcs.)'!W321</f>
        <v>0</v>
      </c>
      <c r="X321" s="53">
        <f>'[3]Forecast (pcs.)'!X321</f>
        <v>0</v>
      </c>
      <c r="Y321" s="53">
        <f>'[3]Forecast (pcs.)'!Y321</f>
        <v>0</v>
      </c>
      <c r="Z321" s="53">
        <f>'[3]Forecast (pcs.)'!Z321</f>
        <v>0</v>
      </c>
      <c r="AA321" s="53">
        <f>'[3]Forecast (pcs.)'!AA321</f>
        <v>0</v>
      </c>
      <c r="AB321" s="53">
        <f>'[3]Forecast (pcs.)'!AB321</f>
        <v>0</v>
      </c>
    </row>
    <row r="322" spans="1:28" ht="15" customHeight="1" x14ac:dyDescent="0.25">
      <c r="A322" s="2">
        <v>6810</v>
      </c>
      <c r="B322" s="3" t="s">
        <v>467</v>
      </c>
      <c r="C322" s="3">
        <v>6810</v>
      </c>
      <c r="D322" t="s">
        <v>477</v>
      </c>
      <c r="Q322" s="53">
        <f>'[3]Forecast (pcs.)'!Q322</f>
        <v>2201</v>
      </c>
      <c r="R322" s="53">
        <f>'[3]Forecast (pcs.)'!R322</f>
        <v>0</v>
      </c>
      <c r="S322" s="53">
        <f>'[3]Forecast (pcs.)'!S322</f>
        <v>0</v>
      </c>
      <c r="T322" s="53">
        <f>'[3]Forecast (pcs.)'!T322</f>
        <v>0</v>
      </c>
      <c r="U322" s="53">
        <f>'[3]Forecast (pcs.)'!U322</f>
        <v>0</v>
      </c>
      <c r="V322" s="53">
        <f>'[3]Forecast (pcs.)'!V322</f>
        <v>0</v>
      </c>
      <c r="W322" s="53">
        <f>'[3]Forecast (pcs.)'!W322</f>
        <v>0</v>
      </c>
      <c r="X322" s="53">
        <f>'[3]Forecast (pcs.)'!X322</f>
        <v>0</v>
      </c>
      <c r="Y322" s="53">
        <f>'[3]Forecast (pcs.)'!Y322</f>
        <v>0</v>
      </c>
      <c r="Z322" s="53">
        <f>'[3]Forecast (pcs.)'!Z322</f>
        <v>0</v>
      </c>
      <c r="AA322" s="53">
        <f>'[3]Forecast (pcs.)'!AA322</f>
        <v>0</v>
      </c>
      <c r="AB322" s="53">
        <f>'[3]Forecast (pcs.)'!AB322</f>
        <v>0</v>
      </c>
    </row>
    <row r="323" spans="1:28" ht="15" customHeight="1" x14ac:dyDescent="0.25">
      <c r="A323" s="3" t="s">
        <v>478</v>
      </c>
      <c r="B323" s="3" t="s">
        <v>47</v>
      </c>
      <c r="C323" s="3" t="s">
        <v>478</v>
      </c>
      <c r="D323" t="s">
        <v>479</v>
      </c>
      <c r="Q323" s="53">
        <f>'[3]Forecast (pcs.)'!Q323</f>
        <v>0</v>
      </c>
      <c r="R323" s="53">
        <f>'[3]Forecast (pcs.)'!R323</f>
        <v>0</v>
      </c>
      <c r="S323" s="53">
        <f>'[3]Forecast (pcs.)'!S323</f>
        <v>1500</v>
      </c>
      <c r="T323" s="53">
        <f>'[3]Forecast (pcs.)'!T323</f>
        <v>0</v>
      </c>
      <c r="U323" s="53">
        <f>'[3]Forecast (pcs.)'!U323</f>
        <v>0</v>
      </c>
      <c r="V323" s="53">
        <f>'[3]Forecast (pcs.)'!V323</f>
        <v>0</v>
      </c>
      <c r="W323" s="53">
        <f>'[3]Forecast (pcs.)'!W323</f>
        <v>0</v>
      </c>
      <c r="X323" s="53">
        <f>'[3]Forecast (pcs.)'!X323</f>
        <v>0</v>
      </c>
      <c r="Y323" s="53">
        <f>'[3]Forecast (pcs.)'!Y323</f>
        <v>0</v>
      </c>
      <c r="Z323" s="53">
        <f>'[3]Forecast (pcs.)'!Z323</f>
        <v>0</v>
      </c>
      <c r="AA323" s="53">
        <f>'[3]Forecast (pcs.)'!AA323</f>
        <v>0</v>
      </c>
      <c r="AB323" s="53">
        <f>'[3]Forecast (pcs.)'!AB323</f>
        <v>0</v>
      </c>
    </row>
    <row r="324" spans="1:28" ht="15" customHeight="1" x14ac:dyDescent="0.25">
      <c r="A324" s="3" t="s">
        <v>480</v>
      </c>
      <c r="B324" s="3" t="s">
        <v>47</v>
      </c>
      <c r="C324" s="3" t="s">
        <v>480</v>
      </c>
      <c r="D324" t="s">
        <v>481</v>
      </c>
      <c r="Q324" s="53">
        <f>'[3]Forecast (pcs.)'!Q324</f>
        <v>0</v>
      </c>
      <c r="R324" s="53">
        <f>'[3]Forecast (pcs.)'!R324</f>
        <v>0</v>
      </c>
      <c r="S324" s="53">
        <f>'[3]Forecast (pcs.)'!S324</f>
        <v>300</v>
      </c>
      <c r="T324" s="53">
        <f>'[3]Forecast (pcs.)'!T324</f>
        <v>0</v>
      </c>
      <c r="U324" s="53">
        <f>'[3]Forecast (pcs.)'!U324</f>
        <v>0</v>
      </c>
      <c r="V324" s="53">
        <f>'[3]Forecast (pcs.)'!V324</f>
        <v>0</v>
      </c>
      <c r="W324" s="53">
        <f>'[3]Forecast (pcs.)'!W324</f>
        <v>0</v>
      </c>
      <c r="X324" s="53">
        <f>'[3]Forecast (pcs.)'!X324</f>
        <v>0</v>
      </c>
      <c r="Y324" s="53">
        <f>'[3]Forecast (pcs.)'!Y324</f>
        <v>0</v>
      </c>
      <c r="Z324" s="53">
        <f>'[3]Forecast (pcs.)'!Z324</f>
        <v>0</v>
      </c>
      <c r="AA324" s="53">
        <f>'[3]Forecast (pcs.)'!AA324</f>
        <v>0</v>
      </c>
      <c r="AB324" s="53">
        <f>'[3]Forecast (pcs.)'!AB324</f>
        <v>0</v>
      </c>
    </row>
    <row r="326" spans="1:28" x14ac:dyDescent="0.2">
      <c r="Q326" s="6">
        <f t="shared" ref="Q326:AB326" si="18">SUM(Q3:Q324)</f>
        <v>749467</v>
      </c>
      <c r="R326" s="6">
        <f t="shared" si="18"/>
        <v>819433</v>
      </c>
      <c r="S326" s="6">
        <f t="shared" si="18"/>
        <v>873623.66238530236</v>
      </c>
      <c r="T326" s="6">
        <f t="shared" si="18"/>
        <v>804280.55141583038</v>
      </c>
      <c r="U326" s="6">
        <f t="shared" si="18"/>
        <v>866523.58133300219</v>
      </c>
      <c r="V326" s="6">
        <f t="shared" si="18"/>
        <v>792813.5816393639</v>
      </c>
      <c r="W326" s="6">
        <f t="shared" si="18"/>
        <v>767112.21586773521</v>
      </c>
      <c r="X326" s="6">
        <f t="shared" si="18"/>
        <v>755276.61481465108</v>
      </c>
      <c r="Y326" s="6">
        <f t="shared" si="18"/>
        <v>777746.78187332267</v>
      </c>
      <c r="Z326" s="6">
        <f t="shared" si="18"/>
        <v>802209.81852478406</v>
      </c>
      <c r="AA326" s="6">
        <f t="shared" si="18"/>
        <v>786179.1112354683</v>
      </c>
      <c r="AB326" s="6">
        <f t="shared" si="18"/>
        <v>672064.84460765147</v>
      </c>
    </row>
  </sheetData>
  <autoFilter ref="B2:T312" xr:uid="{00000000-0009-0000-0000-000001000000}"/>
  <pageMargins left="0.70866141732283472" right="0.70866141732283472" top="0.74803149606299213" bottom="0.74803149606299213" header="0.31496062992125978" footer="0.31496062992125978"/>
  <pageSetup scale="6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พนักงาน</vt:lpstr>
      <vt:lpstr>CAP_Summary</vt:lpstr>
      <vt:lpstr>Y25-Forecast (pcs.)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wuttichai srisakanan</dc:creator>
  <cp:lastModifiedBy>Samco IT BOY</cp:lastModifiedBy>
  <cp:lastPrinted>2026-02-02T03:31:12Z</cp:lastPrinted>
  <dcterms:created xsi:type="dcterms:W3CDTF">2024-03-15T09:16:37Z</dcterms:created>
  <dcterms:modified xsi:type="dcterms:W3CDTF">2026-04-03T14:48:49Z</dcterms:modified>
</cp:coreProperties>
</file>